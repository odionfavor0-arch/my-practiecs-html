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Growth Plan" sheetId="2" state="visible" r:id="rId2"/>
    <sheet name="Dashboard" sheetId="3" state="visible" r:id="rId3"/>
    <sheet name="Product Research" sheetId="4" state="visible" r:id="rId4"/>
    <sheet name="Settings" sheetId="5" state="visible" r:id="rId5"/>
    <sheet name="Products" sheetId="6" state="visible" r:id="rId6"/>
    <sheet name="Stock In" sheetId="7" state="visible" r:id="rId7"/>
    <sheet name="Orders" sheetId="8" state="visible" r:id="rId8"/>
    <sheet name="Expens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&quot;₦&quot;#,##0;(&quot;₦&quot;#,##0);-"/>
    <numFmt numFmtId="166" formatCode="0.0%;(0.0%);-"/>
    <numFmt numFmtId="167" formatCode="yyyy-mm-dd"/>
    <numFmt numFmtId="168" formatCode="dd mmm yyyy"/>
    <numFmt numFmtId="169" formatCode="#,##0;-#,##0;-"/>
  </numFmts>
  <fonts count="14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color rgb="0066625A"/>
      <sz val="10"/>
    </font>
    <font>
      <name val="Arial"/>
      <b val="1"/>
      <color rgb="008A6C14"/>
      <sz val="11"/>
    </font>
    <font>
      <name val="Arial"/>
      <b val="1"/>
      <sz val="10"/>
    </font>
    <font>
      <name val="Arial"/>
      <sz val="10"/>
    </font>
    <font>
      <name val="Arial"/>
      <b val="1"/>
      <color rgb="000000FF"/>
      <sz val="10"/>
    </font>
    <font>
      <name val="Arial"/>
      <color rgb="000000FF"/>
      <sz val="10"/>
    </font>
    <font>
      <name val="Arial"/>
      <b val="1"/>
      <color rgb="00F3ECD8"/>
      <sz val="10"/>
    </font>
    <font>
      <name val="Arial"/>
      <color rgb="00008000"/>
      <sz val="10"/>
    </font>
    <font>
      <name val="Arial"/>
      <i val="1"/>
      <color rgb="0066625A"/>
      <sz val="9"/>
    </font>
    <font>
      <name val="Arial"/>
      <b val="1"/>
      <color rgb="008A6C14"/>
      <sz val="10"/>
    </font>
    <font>
      <name val="Arial"/>
      <color rgb="0066625A"/>
      <sz val="9"/>
    </font>
    <font>
      <name val="Arial"/>
      <color rgb="00A39E92"/>
      <sz val="8"/>
    </font>
  </fonts>
  <fills count="5">
    <fill>
      <patternFill/>
    </fill>
    <fill>
      <patternFill patternType="gray125"/>
    </fill>
    <fill>
      <patternFill patternType="solid">
        <fgColor rgb="00FFF2B3"/>
      </patternFill>
    </fill>
    <fill>
      <patternFill patternType="solid">
        <fgColor rgb="001C1B18"/>
      </patternFill>
    </fill>
    <fill>
      <patternFill patternType="solid">
        <fgColor rgb="00F3ECD8"/>
      </patternFill>
    </fill>
  </fills>
  <borders count="3">
    <border>
      <left/>
      <right/>
      <top/>
      <bottom/>
      <diagonal/>
    </border>
    <border>
      <left style="thin">
        <color rgb="00D9D5CC"/>
      </left>
      <right style="thin">
        <color rgb="00D9D5CC"/>
      </right>
      <top style="thin">
        <color rgb="00D9D5CC"/>
      </top>
      <bottom style="thin">
        <color rgb="00D9D5CC"/>
      </bottom>
    </border>
    <border>
      <bottom style="thin">
        <color rgb="00D9D5CC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10" fillId="0" borderId="0" pivotButton="0" quotePrefix="0" xfId="0"/>
    <xf numFmtId="0" fontId="4" fillId="0" borderId="2" pivotButton="0" quotePrefix="0" xfId="0"/>
    <xf numFmtId="3" fontId="4" fillId="0" borderId="2" pivotButton="0" quotePrefix="0" xfId="0"/>
    <xf numFmtId="0" fontId="8" fillId="3" borderId="0" pivotButton="0" quotePrefix="0" xfId="0"/>
    <xf numFmtId="0" fontId="5" fillId="0" borderId="2" pivotButton="0" quotePrefix="0" xfId="0"/>
    <xf numFmtId="9" fontId="4" fillId="0" borderId="2" pivotButton="0" quotePrefix="0" xfId="0"/>
    <xf numFmtId="49" fontId="4" fillId="0" borderId="2" pivotButton="0" quotePrefix="0" xfId="0"/>
    <xf numFmtId="0" fontId="8" fillId="3" borderId="0" applyAlignment="1" pivotButton="0" quotePrefix="0" xfId="0">
      <alignment vertical="center"/>
    </xf>
    <xf numFmtId="0" fontId="11" fillId="4" borderId="0" pivotButton="0" quotePrefix="0" xfId="0"/>
    <xf numFmtId="0" fontId="0" fillId="4" borderId="0" pivotButton="0" quotePrefix="0" xfId="0"/>
    <xf numFmtId="0" fontId="12" fillId="0" borderId="2" pivotButton="0" quotePrefix="0" xfId="0"/>
    <xf numFmtId="0" fontId="5" fillId="0" borderId="2" applyAlignment="1" pivotButton="0" quotePrefix="0" xfId="0">
      <alignment vertical="top" wrapText="1"/>
    </xf>
    <xf numFmtId="0" fontId="7" fillId="0" borderId="2" pivotButton="0" quotePrefix="0" xfId="0"/>
    <xf numFmtId="168" fontId="7" fillId="0" borderId="2" pivotButton="0" quotePrefix="0" xfId="0"/>
    <xf numFmtId="0" fontId="12" fillId="0" borderId="2" applyAlignment="1" pivotButton="0" quotePrefix="0" xfId="0">
      <alignment vertical="top" wrapText="1"/>
    </xf>
    <xf numFmtId="0" fontId="13" fillId="0" borderId="0" pivotButton="0" quotePrefix="0" xfId="0"/>
    <xf numFmtId="168" fontId="7" fillId="2" borderId="0" pivotButton="0" quotePrefix="0" xfId="0"/>
    <xf numFmtId="165" fontId="5" fillId="0" borderId="2" pivotButton="0" quotePrefix="0" xfId="0"/>
    <xf numFmtId="0" fontId="4" fillId="4" borderId="2" pivotButton="0" quotePrefix="0" xfId="0"/>
    <xf numFmtId="3" fontId="4" fillId="4" borderId="2" pivotButton="0" quotePrefix="0" xfId="0"/>
    <xf numFmtId="169" fontId="5" fillId="0" borderId="2" pivotButton="0" quotePrefix="0" xfId="0"/>
    <xf numFmtId="165" fontId="4" fillId="4" borderId="2" pivotButton="0" quotePrefix="0" xfId="0"/>
    <xf numFmtId="166" fontId="5" fillId="0" borderId="2" pivotButton="0" quotePrefix="0" xfId="0"/>
    <xf numFmtId="3" fontId="5" fillId="0" borderId="2" pivotButton="0" quotePrefix="0" xfId="0"/>
    <xf numFmtId="169" fontId="4" fillId="4" borderId="2" pivotButton="0" quotePrefix="0" xfId="0"/>
    <xf numFmtId="166" fontId="4" fillId="4" borderId="2" pivotButton="0" quotePrefix="0" xfId="0"/>
    <xf numFmtId="0" fontId="8" fillId="3" borderId="0" applyAlignment="1" pivotButton="0" quotePrefix="0" xfId="0">
      <alignment vertical="center" wrapText="1"/>
    </xf>
    <xf numFmtId="0" fontId="7" fillId="0" borderId="0" pivotButton="0" quotePrefix="0" xfId="0"/>
    <xf numFmtId="0" fontId="7" fillId="0" borderId="0" applyAlignment="1" pivotButton="0" quotePrefix="0" xfId="0">
      <alignment vertical="top" wrapText="1"/>
    </xf>
    <xf numFmtId="165" fontId="7" fillId="0" borderId="0" pivotButton="0" quotePrefix="0" xfId="0"/>
    <xf numFmtId="166" fontId="0" fillId="0" borderId="0" pivotButton="0" quotePrefix="0" xfId="0"/>
    <xf numFmtId="3" fontId="7" fillId="2" borderId="0" pivotButton="0" quotePrefix="0" xfId="0"/>
    <xf numFmtId="0" fontId="5" fillId="0" borderId="0" pivotButton="0" quotePrefix="0" xfId="0"/>
    <xf numFmtId="0" fontId="7" fillId="2" borderId="0" pivotButton="0" quotePrefix="0" xfId="0"/>
    <xf numFmtId="0" fontId="7" fillId="0" borderId="1" pivotButton="0" quotePrefix="0" xfId="0"/>
    <xf numFmtId="164" fontId="7" fillId="2" borderId="1" pivotButton="0" quotePrefix="0" xfId="0"/>
    <xf numFmtId="0" fontId="5" fillId="0" borderId="1" pivotButton="0" quotePrefix="0" xfId="0"/>
    <xf numFmtId="165" fontId="0" fillId="0" borderId="0" pivotButton="0" quotePrefix="0" xfId="0"/>
    <xf numFmtId="168" fontId="7" fillId="0" borderId="0" pivotButton="0" quotePrefix="0" xfId="0"/>
    <xf numFmtId="0" fontId="9" fillId="0" borderId="0" pivotButton="0" quotePrefix="0" xfId="0"/>
    <xf numFmtId="49" fontId="7" fillId="0" borderId="0" pivotButton="0" quotePrefix="0" xfId="0"/>
  </cellXfs>
  <cellStyles count="1">
    <cellStyle name="Normal" xfId="0" builtinId="0" hidden="0"/>
  </cellStyles>
  <dxfs count="6">
    <dxf>
      <font>
        <name val="Arial"/>
        <b val="1"/>
        <color rgb="002F6B45"/>
      </font>
      <fill>
        <patternFill patternType="solid">
          <fgColor rgb="00E4F0E7"/>
        </patternFill>
      </fill>
    </dxf>
    <dxf>
      <font>
        <name val="Arial"/>
        <b val="1"/>
        <color rgb="008A6C14"/>
      </font>
      <fill>
        <patternFill patternType="solid">
          <fgColor rgb="00F3ECD8"/>
        </patternFill>
      </fill>
    </dxf>
    <dxf>
      <font>
        <name val="Arial"/>
        <b val="1"/>
        <color rgb="009A4A12"/>
      </font>
      <fill>
        <patternFill patternType="solid">
          <fgColor rgb="00F8E9DD"/>
        </patternFill>
      </fill>
    </dxf>
    <dxf>
      <font>
        <name val="Arial"/>
        <strike val="1"/>
        <color rgb="00A39E92"/>
      </font>
    </dxf>
    <dxf>
      <font>
        <name val="Arial"/>
        <color rgb="009A4A12"/>
      </font>
    </dxf>
    <dxf>
      <font>
        <name val="Arial"/>
        <b val="1"/>
        <color rgb="002F6B45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Crown Global</author>
  </authors>
  <commentList>
    <comment ref="A1" authorId="0" shapeId="0">
      <text>
        <t>How the score works (max 20): Demand 1–5 + (6 − Competition) + Margin score + Shipping score, minus 2 if the product is regulated (food, cosmetics, electronics with batteries). Margin score: 66%+ = 5 (about 3× cost), 50% = 4, 40% = 3, 25% = 2, lower = 1. Shipping score by weight: ≤100 g = 5, ≤250 g = 4, ≤500 g = 3, ≤1 kg = 2, heavier = 1. 15+ is a strong test candidate.</t>
      </text>
    </comment>
  </commentList>
</comments>
</file>

<file path=xl/comments/comment2.xml><?xml version="1.0" encoding="utf-8"?>
<comments xmlns="http://schemas.openxmlformats.org/spreadsheetml/2006/main">
  <authors>
    <author>Crown Global</author>
  </authors>
  <commentList>
    <comment ref="A1" authorId="0" shapeId="0">
      <text>
        <t>One row per product. Blue columns are yours to fill 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1"/>
    <row r="2">
      <c r="B2" s="1" t="inlineStr">
        <is>
          <t>Crown Global Nigeria: operations workbook</t>
        </is>
      </c>
    </row>
    <row r="3">
      <c r="B3" s="2" t="inlineStr">
        <is>
          <t>Products, orders, fulfilment, money and inventory in one place.</t>
        </is>
      </c>
    </row>
    <row r="4"/>
    <row r="5">
      <c r="B5" s="3" t="inlineStr">
        <is>
          <t>HOW TO USE</t>
        </is>
      </c>
    </row>
    <row r="6">
      <c r="B6" s="4" t="inlineStr">
        <is>
          <t>0. Growth Plan</t>
        </is>
      </c>
      <c r="C6" s="5" t="inlineStr">
        <is>
          <t>Your step-by-step list from today to wholesale. Set each step's Status as you go; progress and the next step update themselves.</t>
        </is>
      </c>
    </row>
    <row r="7">
      <c r="B7" s="4" t="inlineStr">
        <is>
          <t>0b. Product Research</t>
        </is>
      </c>
      <c r="C7" s="5" t="inlineStr">
        <is>
          <t>List every product idea from the trend research, US and Nigeria. Scores calculate from demand, competition, margin, weight and regulation. The top scores become test products.</t>
        </is>
      </c>
    </row>
    <row r="8">
      <c r="B8" s="4" t="inlineStr">
        <is>
          <t>1. Settings</t>
        </is>
      </c>
      <c r="C8" s="5" t="inlineStr">
        <is>
          <t>Set the exchange rate and each sales channel's fee. Yellow cells are yours to edit.</t>
        </is>
      </c>
    </row>
    <row r="9">
      <c r="B9" s="4" t="inlineStr">
        <is>
          <t>2. Products</t>
        </is>
      </c>
      <c r="C9" s="5" t="inlineStr">
        <is>
          <t>Add every product (one row per SKU). Enter costs in blue columns; margins, stock and reorder flags calculate themselves.</t>
        </is>
      </c>
    </row>
    <row r="10">
      <c r="B10" s="6" t="inlineStr">
        <is>
          <t>3. Stock In</t>
        </is>
      </c>
      <c r="C10" s="5" t="inlineStr">
        <is>
          <t>Log every delivery of stock you receive (from China, a cargo agent or a supplier).</t>
        </is>
      </c>
    </row>
    <row r="11">
      <c r="B11" s="4" t="inlineStr">
        <is>
          <t>4. Orders</t>
        </is>
      </c>
      <c r="C11" s="5" t="inlineStr">
        <is>
          <t>Log every order from every channel. Update the Status column as the order moves. Fees, product cost and profit calculate themselves.</t>
        </is>
      </c>
    </row>
    <row r="12">
      <c r="B12" s="4" t="inlineStr">
        <is>
          <t>5. Expenses</t>
        </is>
      </c>
      <c r="C12" s="5" t="inlineStr">
        <is>
          <t>Log ads, samples, packaging, subscriptions and anything else not tied to a single order.</t>
        </is>
      </c>
    </row>
    <row r="13">
      <c r="B13" s="4" t="inlineStr">
        <is>
          <t>6. Dashboard</t>
        </is>
      </c>
      <c r="C13" s="5" t="inlineStr">
        <is>
          <t>Set the start and end date at the top to see any week or month.</t>
        </is>
      </c>
    </row>
    <row r="14">
      <c r="B14" s="3" t="inlineStr"/>
    </row>
    <row r="15">
      <c r="B15" s="3" t="inlineStr">
        <is>
          <t>COLOUR KEY</t>
        </is>
      </c>
    </row>
    <row r="16">
      <c r="B16" s="4" t="inlineStr">
        <is>
          <t>Blue text</t>
        </is>
      </c>
      <c r="C16" s="5" t="inlineStr">
        <is>
          <t>You type this in.</t>
        </is>
      </c>
    </row>
    <row r="17">
      <c r="B17" s="4" t="inlineStr">
        <is>
          <t>Black text</t>
        </is>
      </c>
      <c r="C17" s="5" t="inlineStr">
        <is>
          <t>Formula. Don't type over it.</t>
        </is>
      </c>
    </row>
    <row r="18">
      <c r="B18" s="4" t="inlineStr">
        <is>
          <t>Yellow fill</t>
        </is>
      </c>
      <c r="C18" s="5" t="inlineStr">
        <is>
          <t>Settings and key inputs.</t>
        </is>
      </c>
    </row>
    <row r="19">
      <c r="B19" s="3" t="inlineStr"/>
    </row>
    <row r="20">
      <c r="B20" s="3" t="inlineStr">
        <is>
          <t>RULES THE SHEET USES</t>
        </is>
      </c>
    </row>
    <row r="21">
      <c r="B21" s="4" t="inlineStr">
        <is>
          <t>Profit counts on delivery</t>
        </is>
      </c>
      <c r="C21" s="5" t="inlineStr">
        <is>
          <t>An order only adds profit when its Status is Delivered. Returned and Failed delivery orders count the delivery cost as a loss; the item goes back into stock.</t>
        </is>
      </c>
    </row>
    <row r="22">
      <c r="B22" s="4" t="inlineStr">
        <is>
          <t>Stock leaves on shipping</t>
        </is>
      </c>
      <c r="C22" s="5" t="inlineStr">
        <is>
          <t>Units count as gone from stock once an order is Shipped or Delivered.</t>
        </is>
      </c>
    </row>
    <row r="23">
      <c r="B23" s="4" t="inlineStr">
        <is>
          <t>Dropship products</t>
        </is>
      </c>
      <c r="C23" s="5" t="inlineStr">
        <is>
          <t>Set Stock model to Dropship and the sheet skips stock counts and reorder flags for that product.</t>
        </is>
      </c>
    </row>
    <row r="24">
      <c r="B24" s="4" t="inlineStr">
        <is>
          <t>Landed cost</t>
        </is>
      </c>
      <c r="C24" s="5" t="inlineStr">
        <is>
          <t>Product price + shipping + duty/clearing + other costs, per unit, in Naira. This is the real cost of one item in your hands.</t>
        </is>
      </c>
    </row>
    <row r="25">
      <c r="B25" s="4" t="inlineStr">
        <is>
          <t>Repeat customers</t>
        </is>
      </c>
      <c r="C25" s="5" t="inlineStr">
        <is>
          <t>The Orders tab marks a customer as Repeat when the same phone number has ordered before.</t>
        </is>
      </c>
    </row>
    <row r="26">
      <c r="B26" s="3" t="inlineStr"/>
    </row>
    <row r="27">
      <c r="B27" s="4" t="inlineStr">
        <is>
          <t>EXAMPLE ROWS</t>
        </is>
      </c>
      <c r="C27" s="5" t="inlineStr">
        <is>
          <t>Rows with SKUs starting EX- are examples showing the format. Delete them (or type over them) when you start.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6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58" customWidth="1" min="3" max="3"/>
    <col width="10" customWidth="1" min="4" max="4"/>
    <col width="13" customWidth="1" min="5" max="5"/>
    <col width="13" customWidth="1" min="6" max="6"/>
    <col width="44" customWidth="1" min="7" max="7"/>
    <col width="26" customWidth="1" min="8" max="8"/>
    <col width="6" customWidth="1" min="9" max="9"/>
  </cols>
  <sheetData>
    <row r="1">
      <c r="A1" s="1" t="inlineStr">
        <is>
          <t>Crown Global: growth plan</t>
        </is>
      </c>
    </row>
    <row r="2">
      <c r="A2" s="7" t="inlineStr">
        <is>
          <t>Work down the list. Update Status as you go; the progress numbers update themselves. Target date and Notes are yours to fill in.</t>
        </is>
      </c>
    </row>
    <row r="3"/>
    <row r="4">
      <c r="A4" s="3" t="inlineStr">
        <is>
          <t>Progress</t>
        </is>
      </c>
      <c r="G4" s="3" t="inlineStr">
        <is>
          <t>By phase</t>
        </is>
      </c>
    </row>
    <row r="5">
      <c r="B5" s="8" t="inlineStr">
        <is>
          <t>Steps done</t>
        </is>
      </c>
      <c r="C5" s="9">
        <f>COUNTIF($E$18:$E$76,"Done")</f>
        <v/>
      </c>
      <c r="G5" s="10" t="inlineStr">
        <is>
          <t>Phase</t>
        </is>
      </c>
      <c r="H5" s="10" t="inlineStr">
        <is>
          <t>Done</t>
        </is>
      </c>
    </row>
    <row r="6">
      <c r="B6" s="8" t="inlineStr">
        <is>
          <t>Total steps</t>
        </is>
      </c>
      <c r="C6" s="9">
        <f>COUNTA($C$18:$C$76)</f>
        <v/>
      </c>
      <c r="G6" s="11" t="inlineStr">
        <is>
          <t>0 · Foundation (now – week 1)</t>
        </is>
      </c>
      <c r="H6" s="11">
        <f>COUNTIF($E$19:$E$25,"Done")&amp;" of "&amp;COUNTA($C$19:$C$25)</f>
        <v/>
      </c>
    </row>
    <row r="7">
      <c r="B7" s="8" t="inlineStr">
        <is>
          <t>Complete</t>
        </is>
      </c>
      <c r="C7" s="12">
        <f>IF(C6=0,"",C5/C6)</f>
        <v/>
      </c>
      <c r="G7" s="11" t="inlineStr">
        <is>
          <t>1 · Data-led product research (weeks 1–2)</t>
        </is>
      </c>
      <c r="H7" s="11">
        <f>COUNTIF($E$27:$E$32,"Done")&amp;" of "&amp;COUNTA($C$27:$C$32)</f>
        <v/>
      </c>
    </row>
    <row r="8">
      <c r="B8" s="8" t="inlineStr">
        <is>
          <t>Next step</t>
        </is>
      </c>
      <c r="C8" s="13">
        <f>IFERROR(INDEX($C$18:$C$76,MATCH(1,$I$18:$I$76,0)),"All done")</f>
        <v/>
      </c>
      <c r="G8" s="11" t="inlineStr">
        <is>
          <t>2 · Test order (weeks 2–4)</t>
        </is>
      </c>
      <c r="H8" s="11">
        <f>COUNTIF($E$34:$E$39,"Done")&amp;" of "&amp;COUNTA($C$34:$C$39)</f>
        <v/>
      </c>
    </row>
    <row r="9">
      <c r="B9" s="8" t="inlineStr">
        <is>
          <t>Blocked</t>
        </is>
      </c>
      <c r="C9" s="9">
        <f>COUNTIF($E$18:$E$76,"Blocked")</f>
        <v/>
      </c>
      <c r="G9" s="11" t="inlineStr">
        <is>
          <t>3 · Content and first sales (weeks 3–6)</t>
        </is>
      </c>
      <c r="H9" s="11">
        <f>COUNTIF($E$41:$E$47,"Done")&amp;" of "&amp;COUNTA($C$41:$C$47)</f>
        <v/>
      </c>
    </row>
    <row r="10">
      <c r="G10" s="11" t="inlineStr">
        <is>
          <t>4 · Validate and start ads (month 2)</t>
        </is>
      </c>
      <c r="H10" s="11">
        <f>COUNTIF($E$49:$E$52,"Done")&amp;" of "&amp;COUNTA($C$49:$C$52)</f>
        <v/>
      </c>
    </row>
    <row r="11">
      <c r="G11" s="11" t="inlineStr">
        <is>
          <t>5 · Store and small stock (month 3)</t>
        </is>
      </c>
      <c r="H11" s="11">
        <f>COUNTIF($E$54:$E$59,"Done")&amp;" of "&amp;COUNTA($C$54:$C$59)</f>
        <v/>
      </c>
    </row>
    <row r="12">
      <c r="G12" s="11" t="inlineStr">
        <is>
          <t>6 · Grow channels (months 4–6)</t>
        </is>
      </c>
      <c r="H12" s="11">
        <f>COUNTIF($E$61:$E$65,"Done")&amp;" of "&amp;COUNTA($C$61:$C$65)</f>
        <v/>
      </c>
    </row>
    <row r="13">
      <c r="G13" s="11" t="inlineStr">
        <is>
          <t>7 · China trip and bulk buying (end 2026 / early 2027)</t>
        </is>
      </c>
      <c r="H13" s="11">
        <f>COUNTIF($E$67:$E$70,"Done")&amp;" of "&amp;COUNTA($C$67:$C$70)</f>
        <v/>
      </c>
    </row>
    <row r="14">
      <c r="G14" s="11" t="inlineStr">
        <is>
          <t>8 · Private label, wholesale, new markets (2027)</t>
        </is>
      </c>
      <c r="H14" s="11">
        <f>COUNTIF($E$72:$E$76,"Done")&amp;" of "&amp;COUNTA($C$72:$C$76)</f>
        <v/>
      </c>
    </row>
    <row r="15"/>
    <row r="16"/>
    <row r="17" ht="22" customHeight="1">
      <c r="A17" s="14" t="inlineStr">
        <is>
          <t>#</t>
        </is>
      </c>
      <c r="B17" s="14" t="inlineStr">
        <is>
          <t>Phase</t>
        </is>
      </c>
      <c r="C17" s="14" t="inlineStr">
        <is>
          <t>Step</t>
        </is>
      </c>
      <c r="D17" s="14" t="inlineStr">
        <is>
          <t>Owner</t>
        </is>
      </c>
      <c r="E17" s="14" t="inlineStr">
        <is>
          <t>Status</t>
        </is>
      </c>
      <c r="F17" s="14" t="inlineStr">
        <is>
          <t>Target date</t>
        </is>
      </c>
      <c r="G17" s="14" t="inlineStr">
        <is>
          <t>Done when</t>
        </is>
      </c>
      <c r="H17" s="14" t="inlineStr">
        <is>
          <t>Notes</t>
        </is>
      </c>
      <c r="I17" s="14" t="inlineStr">
        <is>
          <t>Open</t>
        </is>
      </c>
    </row>
    <row r="18">
      <c r="A18" s="15" t="inlineStr">
        <is>
          <t>0 · Foundation (now – week 1)</t>
        </is>
      </c>
      <c r="B18" s="16" t="n"/>
      <c r="C18" s="16" t="n"/>
      <c r="D18" s="16" t="n"/>
      <c r="E18" s="16" t="n"/>
      <c r="F18" s="16" t="n"/>
      <c r="G18" s="16" t="n"/>
      <c r="H18" s="16" t="n"/>
    </row>
    <row r="19">
      <c r="A19" s="11" t="n">
        <v>1</v>
      </c>
      <c r="B19" s="17" t="inlineStr">
        <is>
          <t>0 · Foundation</t>
        </is>
      </c>
      <c r="C19" s="18" t="inlineStr">
        <is>
          <t>Register Crown Global LLC in North Carolina</t>
        </is>
      </c>
      <c r="D19" s="19" t="inlineStr">
        <is>
          <t>Hubby</t>
        </is>
      </c>
      <c r="E19" s="19" t="inlineStr">
        <is>
          <t>Not started</t>
        </is>
      </c>
      <c r="F19" s="20" t="n"/>
      <c r="G19" s="21" t="inlineStr">
        <is>
          <t>State filing confirmed</t>
        </is>
      </c>
      <c r="H19" s="19" t="n"/>
      <c r="I19" s="22">
        <f>IF(OR(C19="",E19="Done"),0,1)</f>
        <v/>
      </c>
    </row>
    <row r="20">
      <c r="A20" s="11" t="n">
        <v>2</v>
      </c>
      <c r="B20" s="17" t="inlineStr">
        <is>
          <t>0 · Foundation</t>
        </is>
      </c>
      <c r="C20" s="18" t="inlineStr">
        <is>
          <t>Get EIN and open US business bank account</t>
        </is>
      </c>
      <c r="D20" s="19" t="inlineStr">
        <is>
          <t>Hubby</t>
        </is>
      </c>
      <c r="E20" s="19" t="inlineStr">
        <is>
          <t>Not started</t>
        </is>
      </c>
      <c r="F20" s="20" t="n"/>
      <c r="G20" s="21" t="inlineStr">
        <is>
          <t>EIN letter + account open</t>
        </is>
      </c>
      <c r="H20" s="19" t="n"/>
      <c r="I20" s="22">
        <f>IF(OR(C20="",E20="Done"),0,1)</f>
        <v/>
      </c>
    </row>
    <row r="21">
      <c r="A21" s="11" t="n">
        <v>3</v>
      </c>
      <c r="B21" s="17" t="inlineStr">
        <is>
          <t>0 · Foundation</t>
        </is>
      </c>
      <c r="C21" s="18" t="inlineStr">
        <is>
          <t>Register the domain (crownglobalsourcing.com)</t>
        </is>
      </c>
      <c r="D21" s="19" t="inlineStr">
        <is>
          <t>Both</t>
        </is>
      </c>
      <c r="E21" s="19" t="inlineStr">
        <is>
          <t>Not started</t>
        </is>
      </c>
      <c r="F21" s="20" t="n"/>
      <c r="G21" s="21" t="inlineStr">
        <is>
          <t>Domain owned by the business</t>
        </is>
      </c>
      <c r="H21" s="19" t="n"/>
      <c r="I21" s="22">
        <f>IF(OR(C21="",E21="Done"),0,1)</f>
        <v/>
      </c>
    </row>
    <row r="22">
      <c r="A22" s="11" t="n">
        <v>4</v>
      </c>
      <c r="B22" s="17" t="inlineStr">
        <is>
          <t>0 · Foundation</t>
        </is>
      </c>
      <c r="C22" s="18" t="inlineStr">
        <is>
          <t>Reserve Crown Global on Instagram, TikTok, Facebook</t>
        </is>
      </c>
      <c r="D22" s="19" t="inlineStr">
        <is>
          <t>Me</t>
        </is>
      </c>
      <c r="E22" s="19" t="inlineStr">
        <is>
          <t>Not started</t>
        </is>
      </c>
      <c r="F22" s="20" t="n"/>
      <c r="G22" s="21" t="inlineStr">
        <is>
          <t>All three handles secured</t>
        </is>
      </c>
      <c r="H22" s="19" t="n"/>
      <c r="I22" s="22">
        <f>IF(OR(C22="",E22="Done"),0,1)</f>
        <v/>
      </c>
    </row>
    <row r="23">
      <c r="A23" s="11" t="n">
        <v>5</v>
      </c>
      <c r="B23" s="17" t="inlineStr">
        <is>
          <t>0 · Foundation</t>
        </is>
      </c>
      <c r="C23" s="18" t="inlineStr">
        <is>
          <t>Set up WhatsApp Business: profile, catalogue, auto-replies</t>
        </is>
      </c>
      <c r="D23" s="19" t="inlineStr">
        <is>
          <t>Me</t>
        </is>
      </c>
      <c r="E23" s="19" t="inlineStr">
        <is>
          <t>Not started</t>
        </is>
      </c>
      <c r="F23" s="20" t="n"/>
      <c r="G23" s="21" t="inlineStr">
        <is>
          <t>Business profile live</t>
        </is>
      </c>
      <c r="H23" s="19" t="n"/>
      <c r="I23" s="22">
        <f>IF(OR(C23="",E23="Done"),0,1)</f>
        <v/>
      </c>
    </row>
    <row r="24">
      <c r="A24" s="11" t="n">
        <v>6</v>
      </c>
      <c r="B24" s="17" t="inlineStr">
        <is>
          <t>0 · Foundation</t>
        </is>
      </c>
      <c r="C24" s="18" t="inlineStr">
        <is>
          <t>Decide how Crown Global registers in Nigeria (CAC)</t>
        </is>
      </c>
      <c r="D24" s="19" t="inlineStr">
        <is>
          <t>Both</t>
        </is>
      </c>
      <c r="E24" s="19" t="inlineStr">
        <is>
          <t>Not started</t>
        </is>
      </c>
      <c r="F24" s="20" t="n"/>
      <c r="G24" s="21" t="inlineStr">
        <is>
          <t>Agreed whose name and how it links to the US company</t>
        </is>
      </c>
      <c r="H24" s="19" t="n"/>
      <c r="I24" s="22">
        <f>IF(OR(C24="",E24="Done"),0,1)</f>
        <v/>
      </c>
    </row>
    <row r="25">
      <c r="A25" s="11" t="n">
        <v>7</v>
      </c>
      <c r="B25" s="17" t="inlineStr">
        <is>
          <t>0 · Foundation</t>
        </is>
      </c>
      <c r="C25" s="18" t="inlineStr">
        <is>
          <t>Agree the first-month budget (Hubby funds)</t>
        </is>
      </c>
      <c r="D25" s="19" t="inlineStr">
        <is>
          <t>Hubby</t>
        </is>
      </c>
      <c r="E25" s="19" t="inlineStr">
        <is>
          <t>Not started</t>
        </is>
      </c>
      <c r="F25" s="20" t="n"/>
      <c r="G25" s="21" t="inlineStr">
        <is>
          <t>Amount agreed and sent for samples, store and ads</t>
        </is>
      </c>
      <c r="H25" s="19" t="n"/>
      <c r="I25" s="22">
        <f>IF(OR(C25="",E25="Done"),0,1)</f>
        <v/>
      </c>
    </row>
    <row r="26">
      <c r="A26" s="15" t="inlineStr">
        <is>
          <t>1 · Data-led product research (weeks 1–2)</t>
        </is>
      </c>
      <c r="B26" s="16" t="n"/>
      <c r="C26" s="16" t="n"/>
      <c r="D26" s="16" t="n"/>
      <c r="E26" s="16" t="n"/>
      <c r="F26" s="16" t="n"/>
      <c r="G26" s="16" t="n"/>
      <c r="H26" s="16" t="n"/>
    </row>
    <row r="27">
      <c r="A27" s="11" t="n">
        <v>8</v>
      </c>
      <c r="B27" s="17" t="inlineStr">
        <is>
          <t>1 · Data-led product research</t>
        </is>
      </c>
      <c r="C27" s="18" t="inlineStr">
        <is>
          <t>US trend research: Helium 10, Amazon best-sellers, Google Trends</t>
        </is>
      </c>
      <c r="D27" s="19" t="inlineStr">
        <is>
          <t>Hubby</t>
        </is>
      </c>
      <c r="E27" s="19" t="inlineStr">
        <is>
          <t>Not started</t>
        </is>
      </c>
      <c r="F27" s="20" t="n"/>
      <c r="G27" s="21" t="inlineStr">
        <is>
          <t>10 candidates added to Product Research</t>
        </is>
      </c>
      <c r="H27" s="19" t="n"/>
      <c r="I27" s="22">
        <f>IF(OR(C27="",E27="Done"),0,1)</f>
        <v/>
      </c>
    </row>
    <row r="28">
      <c r="A28" s="11" t="n">
        <v>9</v>
      </c>
      <c r="B28" s="17" t="inlineStr">
        <is>
          <t>1 · Data-led product research</t>
        </is>
      </c>
      <c r="C28" s="18" t="inlineStr">
        <is>
          <t>Nigeria trend research: Jumia best-sellers, TikTok, Google Trends Nigeria</t>
        </is>
      </c>
      <c r="D28" s="19" t="inlineStr">
        <is>
          <t>Me</t>
        </is>
      </c>
      <c r="E28" s="19" t="inlineStr">
        <is>
          <t>Not started</t>
        </is>
      </c>
      <c r="F28" s="20" t="n"/>
      <c r="G28" s="21" t="inlineStr">
        <is>
          <t>10 candidates added to Product Research</t>
        </is>
      </c>
      <c r="H28" s="19" t="n"/>
      <c r="I28" s="22">
        <f>IF(OR(C28="",E28="Done"),0,1)</f>
        <v/>
      </c>
    </row>
    <row r="29">
      <c r="A29" s="11" t="n">
        <v>10</v>
      </c>
      <c r="B29" s="17" t="inlineStr">
        <is>
          <t>1 · Data-led product research</t>
        </is>
      </c>
      <c r="C29" s="18" t="inlineStr">
        <is>
          <t>Study 10 Lagos Instagram/TikTok vendors selling trending products</t>
        </is>
      </c>
      <c r="D29" s="19" t="inlineStr">
        <is>
          <t>Me</t>
        </is>
      </c>
      <c r="E29" s="19" t="inlineStr">
        <is>
          <t>Not started</t>
        </is>
      </c>
      <c r="F29" s="20" t="n"/>
      <c r="G29" s="21" t="inlineStr">
        <is>
          <t>Prices, posting style, common customer questions noted</t>
        </is>
      </c>
      <c r="H29" s="19" t="n"/>
      <c r="I29" s="22">
        <f>IF(OR(C29="",E29="Done"),0,1)</f>
        <v/>
      </c>
    </row>
    <row r="30">
      <c r="A30" s="11" t="n">
        <v>11</v>
      </c>
      <c r="B30" s="17" t="inlineStr">
        <is>
          <t>1 · Data-led product research</t>
        </is>
      </c>
      <c r="C30" s="18" t="inlineStr">
        <is>
          <t>Ask 20 people in your network what they buy and what annoys them</t>
        </is>
      </c>
      <c r="D30" s="19" t="inlineStr">
        <is>
          <t>Me</t>
        </is>
      </c>
      <c r="E30" s="19" t="inlineStr">
        <is>
          <t>Not started</t>
        </is>
      </c>
      <c r="F30" s="20" t="n"/>
      <c r="G30" s="21" t="inlineStr">
        <is>
          <t>20 answers written down</t>
        </is>
      </c>
      <c r="H30" s="19" t="n"/>
      <c r="I30" s="22">
        <f>IF(OR(C30="",E30="Done"),0,1)</f>
        <v/>
      </c>
    </row>
    <row r="31">
      <c r="A31" s="11" t="n">
        <v>12</v>
      </c>
      <c r="B31" s="17" t="inlineStr">
        <is>
          <t>1 · Data-led product research</t>
        </is>
      </c>
      <c r="C31" s="18" t="inlineStr">
        <is>
          <t>Find each candidate on 1688; add factory price, landed cost and weight</t>
        </is>
      </c>
      <c r="D31" s="19" t="inlineStr">
        <is>
          <t>Me</t>
        </is>
      </c>
      <c r="E31" s="19" t="inlineStr">
        <is>
          <t>Not started</t>
        </is>
      </c>
      <c r="F31" s="20" t="n"/>
      <c r="G31" s="21" t="inlineStr">
        <is>
          <t>Every candidate has a score</t>
        </is>
      </c>
      <c r="H31" s="19" t="n"/>
      <c r="I31" s="22">
        <f>IF(OR(C31="",E31="Done"),0,1)</f>
        <v/>
      </c>
    </row>
    <row r="32">
      <c r="A32" s="11" t="n">
        <v>13</v>
      </c>
      <c r="B32" s="17" t="inlineStr">
        <is>
          <t>1 · Data-led product research</t>
        </is>
      </c>
      <c r="C32" s="18" t="inlineStr">
        <is>
          <t>Review the scores together; mark the top 3–5 as Test</t>
        </is>
      </c>
      <c r="D32" s="19" t="inlineStr">
        <is>
          <t>Both</t>
        </is>
      </c>
      <c r="E32" s="19" t="inlineStr">
        <is>
          <t>Not started</t>
        </is>
      </c>
      <c r="F32" s="20" t="n"/>
      <c r="G32" s="21" t="inlineStr">
        <is>
          <t>Test list agreed; the niche follows the winners</t>
        </is>
      </c>
      <c r="H32" s="19" t="n"/>
      <c r="I32" s="22">
        <f>IF(OR(C32="",E32="Done"),0,1)</f>
        <v/>
      </c>
    </row>
    <row r="33">
      <c r="A33" s="15" t="inlineStr">
        <is>
          <t>2 · Test order (weeks 2–4)</t>
        </is>
      </c>
      <c r="B33" s="16" t="n"/>
      <c r="C33" s="16" t="n"/>
      <c r="D33" s="16" t="n"/>
      <c r="E33" s="16" t="n"/>
      <c r="F33" s="16" t="n"/>
      <c r="G33" s="16" t="n"/>
      <c r="H33" s="16" t="n"/>
    </row>
    <row r="34">
      <c r="A34" s="11" t="n">
        <v>14</v>
      </c>
      <c r="B34" s="17" t="inlineStr">
        <is>
          <t>2 · Test order</t>
        </is>
      </c>
      <c r="C34" s="18" t="inlineStr">
        <is>
          <t>Move the Test products into the Products tab</t>
        </is>
      </c>
      <c r="D34" s="19" t="inlineStr">
        <is>
          <t>Me</t>
        </is>
      </c>
      <c r="E34" s="19" t="inlineStr">
        <is>
          <t>Not started</t>
        </is>
      </c>
      <c r="F34" s="20" t="n"/>
      <c r="G34" s="21" t="inlineStr">
        <is>
          <t>3–5 products with costs and prices</t>
        </is>
      </c>
      <c r="H34" s="19" t="n"/>
      <c r="I34" s="22">
        <f>IF(OR(C34="",E34="Done"),0,1)</f>
        <v/>
      </c>
    </row>
    <row r="35">
      <c r="A35" s="11" t="n">
        <v>15</v>
      </c>
      <c r="B35" s="17" t="inlineStr">
        <is>
          <t>2 · Test order</t>
        </is>
      </c>
      <c r="C35" s="18" t="inlineStr">
        <is>
          <t>Order samples with 1688 direct shipping to Nigeria</t>
        </is>
      </c>
      <c r="D35" s="19" t="inlineStr">
        <is>
          <t>Me</t>
        </is>
      </c>
      <c r="E35" s="19" t="inlineStr">
        <is>
          <t>Not started</t>
        </is>
      </c>
      <c r="F35" s="20" t="n"/>
      <c r="G35" s="21" t="inlineStr">
        <is>
          <t>Order placed, tracking saved</t>
        </is>
      </c>
      <c r="H35" s="19" t="n"/>
      <c r="I35" s="22">
        <f>IF(OR(C35="",E35="Done"),0,1)</f>
        <v/>
      </c>
    </row>
    <row r="36">
      <c r="A36" s="11" t="n">
        <v>16</v>
      </c>
      <c r="B36" s="17" t="inlineStr">
        <is>
          <t>2 · Test order</t>
        </is>
      </c>
      <c r="C36" s="18" t="inlineStr">
        <is>
          <t>Send one small order through a Lagos cargo agent to compare</t>
        </is>
      </c>
      <c r="D36" s="19" t="inlineStr">
        <is>
          <t>Me</t>
        </is>
      </c>
      <c r="E36" s="19" t="inlineStr">
        <is>
          <t>Not started</t>
        </is>
      </c>
      <c r="F36" s="20" t="n"/>
      <c r="G36" s="21" t="inlineStr">
        <is>
          <t>Both routes compared on cost and days</t>
        </is>
      </c>
      <c r="H36" s="19" t="n"/>
      <c r="I36" s="22">
        <f>IF(OR(C36="",E36="Done"),0,1)</f>
        <v/>
      </c>
    </row>
    <row r="37">
      <c r="A37" s="11" t="n">
        <v>17</v>
      </c>
      <c r="B37" s="17" t="inlineStr">
        <is>
          <t>2 · Test order</t>
        </is>
      </c>
      <c r="C37" s="18" t="inlineStr">
        <is>
          <t>Take a short importation class; get agent contacts and payment tips</t>
        </is>
      </c>
      <c r="D37" s="19" t="inlineStr">
        <is>
          <t>Me</t>
        </is>
      </c>
      <c r="E37" s="19" t="inlineStr">
        <is>
          <t>Not started</t>
        </is>
      </c>
      <c r="F37" s="20" t="n"/>
      <c r="G37" s="21" t="inlineStr">
        <is>
          <t>At least 2 trusted agent contacts</t>
        </is>
      </c>
      <c r="H37" s="19" t="n"/>
      <c r="I37" s="22">
        <f>IF(OR(C37="",E37="Done"),0,1)</f>
        <v/>
      </c>
    </row>
    <row r="38">
      <c r="A38" s="11" t="n">
        <v>18</v>
      </c>
      <c r="B38" s="17" t="inlineStr">
        <is>
          <t>2 · Test order</t>
        </is>
      </c>
      <c r="C38" s="18" t="inlineStr">
        <is>
          <t>Log cost, days and condition in Stock In</t>
        </is>
      </c>
      <c r="D38" s="19" t="inlineStr">
        <is>
          <t>Me</t>
        </is>
      </c>
      <c r="E38" s="19" t="inlineStr">
        <is>
          <t>Not started</t>
        </is>
      </c>
      <c r="F38" s="20" t="n"/>
      <c r="G38" s="21" t="inlineStr">
        <is>
          <t>Real landed cost per product known</t>
        </is>
      </c>
      <c r="H38" s="19" t="n"/>
      <c r="I38" s="22">
        <f>IF(OR(C38="",E38="Done"),0,1)</f>
        <v/>
      </c>
    </row>
    <row r="39">
      <c r="A39" s="11" t="n">
        <v>19</v>
      </c>
      <c r="B39" s="17" t="inlineStr">
        <is>
          <t>2 · Test order</t>
        </is>
      </c>
      <c r="C39" s="18" t="inlineStr">
        <is>
          <t>Check quality and packaging; drop anything that fails</t>
        </is>
      </c>
      <c r="D39" s="19" t="inlineStr">
        <is>
          <t>Me</t>
        </is>
      </c>
      <c r="E39" s="19" t="inlineStr">
        <is>
          <t>Not started</t>
        </is>
      </c>
      <c r="F39" s="20" t="n"/>
      <c r="G39" s="21" t="inlineStr">
        <is>
          <t>Only products you'd buy yourself remain</t>
        </is>
      </c>
      <c r="H39" s="19" t="n"/>
      <c r="I39" s="22">
        <f>IF(OR(C39="",E39="Done"),0,1)</f>
        <v/>
      </c>
    </row>
    <row r="40">
      <c r="A40" s="15" t="inlineStr">
        <is>
          <t>3 · Content and first sales (weeks 3–6)</t>
        </is>
      </c>
      <c r="B40" s="16" t="n"/>
      <c r="C40" s="16" t="n"/>
      <c r="D40" s="16" t="n"/>
      <c r="E40" s="16" t="n"/>
      <c r="F40" s="16" t="n"/>
      <c r="G40" s="16" t="n"/>
      <c r="H40" s="16" t="n"/>
    </row>
    <row r="41">
      <c r="A41" s="11" t="n">
        <v>20</v>
      </c>
      <c r="B41" s="17" t="inlineStr">
        <is>
          <t>3 · Content and first sales</t>
        </is>
      </c>
      <c r="C41" s="18" t="inlineStr">
        <is>
          <t>Film 5–10 videos per product: unboxing, how-to, before/after</t>
        </is>
      </c>
      <c r="D41" s="19" t="inlineStr">
        <is>
          <t>Me</t>
        </is>
      </c>
      <c r="E41" s="19" t="inlineStr">
        <is>
          <t>Not started</t>
        </is>
      </c>
      <c r="F41" s="20" t="n"/>
      <c r="G41" s="21" t="inlineStr">
        <is>
          <t>At least 15 videos ready</t>
        </is>
      </c>
      <c r="H41" s="19" t="n"/>
      <c r="I41" s="22">
        <f>IF(OR(C41="",E41="Done"),0,1)</f>
        <v/>
      </c>
    </row>
    <row r="42">
      <c r="A42" s="11" t="n">
        <v>21</v>
      </c>
      <c r="B42" s="17" t="inlineStr">
        <is>
          <t>3 · Content and first sales</t>
        </is>
      </c>
      <c r="C42" s="18" t="inlineStr">
        <is>
          <t>Post daily for 2 weeks with no ads</t>
        </is>
      </c>
      <c r="D42" s="19" t="inlineStr">
        <is>
          <t>Me</t>
        </is>
      </c>
      <c r="E42" s="19" t="inlineStr">
        <is>
          <t>Not started</t>
        </is>
      </c>
      <c r="F42" s="20" t="n"/>
      <c r="G42" s="21" t="inlineStr">
        <is>
          <t>Know which videos get saves, shares, 'how much?'</t>
        </is>
      </c>
      <c r="H42" s="19" t="n"/>
      <c r="I42" s="22">
        <f>IF(OR(C42="",E42="Done"),0,1)</f>
        <v/>
      </c>
    </row>
    <row r="43">
      <c r="A43" s="11" t="n">
        <v>22</v>
      </c>
      <c r="B43" s="17" t="inlineStr">
        <is>
          <t>3 · Content and first sales</t>
        </is>
      </c>
      <c r="C43" s="18" t="inlineStr">
        <is>
          <t>Open pre-orders for the winners on Instagram and WhatsApp</t>
        </is>
      </c>
      <c r="D43" s="19" t="inlineStr">
        <is>
          <t>Me</t>
        </is>
      </c>
      <c r="E43" s="19" t="inlineStr">
        <is>
          <t>Not started</t>
        </is>
      </c>
      <c r="F43" s="20" t="n"/>
      <c r="G43" s="21" t="inlineStr">
        <is>
          <t>Clear message: China pre-order, 2–3 weeks</t>
        </is>
      </c>
      <c r="H43" s="19" t="n"/>
      <c r="I43" s="22">
        <f>IF(OR(C43="",E43="Done"),0,1)</f>
        <v/>
      </c>
    </row>
    <row r="44">
      <c r="A44" s="11" t="n">
        <v>23</v>
      </c>
      <c r="B44" s="17" t="inlineStr">
        <is>
          <t>3 · Content and first sales</t>
        </is>
      </c>
      <c r="C44" s="18" t="inlineStr">
        <is>
          <t>Get the first 20 orders from your network; log them in Orders</t>
        </is>
      </c>
      <c r="D44" s="19" t="inlineStr">
        <is>
          <t>Me</t>
        </is>
      </c>
      <c r="E44" s="19" t="inlineStr">
        <is>
          <t>Not started</t>
        </is>
      </c>
      <c r="F44" s="20" t="n"/>
      <c r="G44" s="21" t="inlineStr">
        <is>
          <t>20 orders in the sheet</t>
        </is>
      </c>
      <c r="H44" s="19" t="n"/>
      <c r="I44" s="22">
        <f>IF(OR(C44="",E44="Done"),0,1)</f>
        <v/>
      </c>
    </row>
    <row r="45">
      <c r="A45" s="11" t="n">
        <v>24</v>
      </c>
      <c r="B45" s="17" t="inlineStr">
        <is>
          <t>3 · Content and first sales</t>
        </is>
      </c>
      <c r="C45" s="18" t="inlineStr">
        <is>
          <t>Send updates: confirmed → shipped → arrived → out for delivery → delivered</t>
        </is>
      </c>
      <c r="D45" s="19" t="inlineStr">
        <is>
          <t>Me</t>
        </is>
      </c>
      <c r="E45" s="19" t="inlineStr">
        <is>
          <t>Not started</t>
        </is>
      </c>
      <c r="F45" s="20" t="n"/>
      <c r="G45" s="21" t="inlineStr">
        <is>
          <t>No customer has to ask 'where is my order?'</t>
        </is>
      </c>
      <c r="H45" s="19" t="n"/>
      <c r="I45" s="22">
        <f>IF(OR(C45="",E45="Done"),0,1)</f>
        <v/>
      </c>
    </row>
    <row r="46">
      <c r="A46" s="11" t="n">
        <v>25</v>
      </c>
      <c r="B46" s="17" t="inlineStr">
        <is>
          <t>3 · Content and first sales</t>
        </is>
      </c>
      <c r="C46" s="18" t="inlineStr">
        <is>
          <t>Ask every buyer for a review, photo or video</t>
        </is>
      </c>
      <c r="D46" s="19" t="inlineStr">
        <is>
          <t>Me</t>
        </is>
      </c>
      <c r="E46" s="19" t="inlineStr">
        <is>
          <t>Not started</t>
        </is>
      </c>
      <c r="F46" s="20" t="n"/>
      <c r="G46" s="21" t="inlineStr">
        <is>
          <t>Reviews saved for content</t>
        </is>
      </c>
      <c r="H46" s="19" t="n"/>
      <c r="I46" s="22">
        <f>IF(OR(C46="",E46="Done"),0,1)</f>
        <v/>
      </c>
    </row>
    <row r="47">
      <c r="A47" s="11" t="n">
        <v>26</v>
      </c>
      <c r="B47" s="17" t="inlineStr">
        <is>
          <t>3 · Content and first sales</t>
        </is>
      </c>
      <c r="C47" s="18" t="inlineStr">
        <is>
          <t>Send Hubby the Dashboard numbers every week</t>
        </is>
      </c>
      <c r="D47" s="19" t="inlineStr">
        <is>
          <t>Me</t>
        </is>
      </c>
      <c r="E47" s="19" t="inlineStr">
        <is>
          <t>Not started</t>
        </is>
      </c>
      <c r="F47" s="20" t="n"/>
      <c r="G47" s="21" t="inlineStr">
        <is>
          <t>Weekly update sent</t>
        </is>
      </c>
      <c r="H47" s="19" t="n"/>
      <c r="I47" s="22">
        <f>IF(OR(C47="",E47="Done"),0,1)</f>
        <v/>
      </c>
    </row>
    <row r="48">
      <c r="A48" s="15" t="inlineStr">
        <is>
          <t>4 · Validate and start ads (month 2)</t>
        </is>
      </c>
      <c r="B48" s="16" t="n"/>
      <c r="C48" s="16" t="n"/>
      <c r="D48" s="16" t="n"/>
      <c r="E48" s="16" t="n"/>
      <c r="F48" s="16" t="n"/>
      <c r="G48" s="16" t="n"/>
      <c r="H48" s="16" t="n"/>
    </row>
    <row r="49">
      <c r="A49" s="11" t="n">
        <v>27</v>
      </c>
      <c r="B49" s="17" t="inlineStr">
        <is>
          <t>4 · Validate and start ads</t>
        </is>
      </c>
      <c r="C49" s="18" t="inlineStr">
        <is>
          <t>Run small ads (₦5,000–10,000/day) behind the best organic videos</t>
        </is>
      </c>
      <c r="D49" s="19" t="inlineStr">
        <is>
          <t>Me</t>
        </is>
      </c>
      <c r="E49" s="19" t="inlineStr">
        <is>
          <t>Not started</t>
        </is>
      </c>
      <c r="F49" s="20" t="n"/>
      <c r="G49" s="21" t="inlineStr">
        <is>
          <t>Ads live on proven videos only</t>
        </is>
      </c>
      <c r="H49" s="19" t="n"/>
      <c r="I49" s="22">
        <f>IF(OR(C49="",E49="Done"),0,1)</f>
        <v/>
      </c>
    </row>
    <row r="50">
      <c r="A50" s="11" t="n">
        <v>28</v>
      </c>
      <c r="B50" s="17" t="inlineStr">
        <is>
          <t>4 · Validate and start ads</t>
        </is>
      </c>
      <c r="C50" s="18" t="inlineStr">
        <is>
          <t>Log ad spend in Expenses; check profit after ads</t>
        </is>
      </c>
      <c r="D50" s="19" t="inlineStr">
        <is>
          <t>Me</t>
        </is>
      </c>
      <c r="E50" s="19" t="inlineStr">
        <is>
          <t>Not started</t>
        </is>
      </c>
      <c r="F50" s="20" t="n"/>
      <c r="G50" s="21" t="inlineStr">
        <is>
          <t>Cost per sale known per product</t>
        </is>
      </c>
      <c r="H50" s="19" t="n"/>
      <c r="I50" s="22">
        <f>IF(OR(C50="",E50="Done"),0,1)</f>
        <v/>
      </c>
    </row>
    <row r="51">
      <c r="A51" s="11" t="n">
        <v>29</v>
      </c>
      <c r="B51" s="17" t="inlineStr">
        <is>
          <t>4 · Validate and start ads</t>
        </is>
      </c>
      <c r="C51" s="18" t="inlineStr">
        <is>
          <t>Drop products that lose money after ads</t>
        </is>
      </c>
      <c r="D51" s="19" t="inlineStr">
        <is>
          <t>Both</t>
        </is>
      </c>
      <c r="E51" s="19" t="inlineStr">
        <is>
          <t>Not started</t>
        </is>
      </c>
      <c r="F51" s="20" t="n"/>
      <c r="G51" s="21" t="inlineStr">
        <is>
          <t>1–2 products profitable with weekly orders</t>
        </is>
      </c>
      <c r="H51" s="19" t="n"/>
      <c r="I51" s="22">
        <f>IF(OR(C51="",E51="Done"),0,1)</f>
        <v/>
      </c>
    </row>
    <row r="52">
      <c r="A52" s="11" t="n">
        <v>30</v>
      </c>
      <c r="B52" s="17" t="inlineStr">
        <is>
          <t>4 · Validate and start ads</t>
        </is>
      </c>
      <c r="C52" s="18" t="inlineStr">
        <is>
          <t>Send reorder message 3–4 weeks after delivery</t>
        </is>
      </c>
      <c r="D52" s="19" t="inlineStr">
        <is>
          <t>Me</t>
        </is>
      </c>
      <c r="E52" s="19" t="inlineStr">
        <is>
          <t>Not started</t>
        </is>
      </c>
      <c r="F52" s="20" t="n"/>
      <c r="G52" s="21" t="inlineStr">
        <is>
          <t>Repeat orders showing on the Dashboard</t>
        </is>
      </c>
      <c r="H52" s="19" t="n"/>
      <c r="I52" s="22">
        <f>IF(OR(C52="",E52="Done"),0,1)</f>
        <v/>
      </c>
    </row>
    <row r="53">
      <c r="A53" s="15" t="inlineStr">
        <is>
          <t>5 · Store and small stock (month 3)</t>
        </is>
      </c>
      <c r="B53" s="16" t="n"/>
      <c r="C53" s="16" t="n"/>
      <c r="D53" s="16" t="n"/>
      <c r="E53" s="16" t="n"/>
      <c r="F53" s="16" t="n"/>
      <c r="G53" s="16" t="n"/>
      <c r="H53" s="16" t="n"/>
    </row>
    <row r="54">
      <c r="A54" s="11" t="n">
        <v>31</v>
      </c>
      <c r="B54" s="17" t="inlineStr">
        <is>
          <t>5 · Store and small stock</t>
        </is>
      </c>
      <c r="C54" s="18" t="inlineStr">
        <is>
          <t>Build the Crown Global Shopify store with the winners</t>
        </is>
      </c>
      <c r="D54" s="19" t="inlineStr">
        <is>
          <t>Me</t>
        </is>
      </c>
      <c r="E54" s="19" t="inlineStr">
        <is>
          <t>Not started</t>
        </is>
      </c>
      <c r="F54" s="20" t="n"/>
      <c r="G54" s="21" t="inlineStr">
        <is>
          <t>Store live with shipping and refund policies</t>
        </is>
      </c>
      <c r="H54" s="19" t="n"/>
      <c r="I54" s="22">
        <f>IF(OR(C54="",E54="Done"),0,1)</f>
        <v/>
      </c>
    </row>
    <row r="55">
      <c r="A55" s="11" t="n">
        <v>32</v>
      </c>
      <c r="B55" s="17" t="inlineStr">
        <is>
          <t>5 · Store and small stock</t>
        </is>
      </c>
      <c r="C55" s="18" t="inlineStr">
        <is>
          <t>Set up Paystack or Flutterwave for Naira payments</t>
        </is>
      </c>
      <c r="D55" s="19" t="inlineStr">
        <is>
          <t>Me</t>
        </is>
      </c>
      <c r="E55" s="19" t="inlineStr">
        <is>
          <t>Not started</t>
        </is>
      </c>
      <c r="F55" s="20" t="n"/>
      <c r="G55" s="21" t="inlineStr">
        <is>
          <t>Customers can pay on the store</t>
        </is>
      </c>
      <c r="H55" s="19" t="n"/>
      <c r="I55" s="22">
        <f>IF(OR(C55="",E55="Done"),0,1)</f>
        <v/>
      </c>
    </row>
    <row r="56">
      <c r="A56" s="11" t="n">
        <v>33</v>
      </c>
      <c r="B56" s="17" t="inlineStr">
        <is>
          <t>5 · Store and small stock</t>
        </is>
      </c>
      <c r="C56" s="18" t="inlineStr">
        <is>
          <t>Buy 50–200 units of the winners; store at home</t>
        </is>
      </c>
      <c r="D56" s="19" t="inlineStr">
        <is>
          <t>Both</t>
        </is>
      </c>
      <c r="E56" s="19" t="inlineStr">
        <is>
          <t>Not started</t>
        </is>
      </c>
      <c r="F56" s="20" t="n"/>
      <c r="G56" s="21" t="inlineStr">
        <is>
          <t>Stock logged in Stock In</t>
        </is>
      </c>
      <c r="H56" s="19" t="n"/>
      <c r="I56" s="22">
        <f>IF(OR(C56="",E56="Done"),0,1)</f>
        <v/>
      </c>
    </row>
    <row r="57">
      <c r="A57" s="11" t="n">
        <v>34</v>
      </c>
      <c r="B57" s="17" t="inlineStr">
        <is>
          <t>5 · Store and small stock</t>
        </is>
      </c>
      <c r="C57" s="18" t="inlineStr">
        <is>
          <t>Line up 1–2 reliable dispatch riders in Lagos</t>
        </is>
      </c>
      <c r="D57" s="19" t="inlineStr">
        <is>
          <t>Me</t>
        </is>
      </c>
      <c r="E57" s="19" t="inlineStr">
        <is>
          <t>Not started</t>
        </is>
      </c>
      <c r="F57" s="20" t="n"/>
      <c r="G57" s="21" t="inlineStr">
        <is>
          <t>Same/next-day delivery in Lagos</t>
        </is>
      </c>
      <c r="H57" s="19" t="n"/>
      <c r="I57" s="22">
        <f>IF(OR(C57="",E57="Done"),0,1)</f>
        <v/>
      </c>
    </row>
    <row r="58">
      <c r="A58" s="11" t="n">
        <v>35</v>
      </c>
      <c r="B58" s="17" t="inlineStr">
        <is>
          <t>5 · Store and small stock</t>
        </is>
      </c>
      <c r="C58" s="18" t="inlineStr">
        <is>
          <t>Set reorder points in the Products tab</t>
        </is>
      </c>
      <c r="D58" s="19" t="inlineStr">
        <is>
          <t>Me</t>
        </is>
      </c>
      <c r="E58" s="19" t="inlineStr">
        <is>
          <t>Not started</t>
        </is>
      </c>
      <c r="F58" s="20" t="n"/>
      <c r="G58" s="21" t="inlineStr">
        <is>
          <t>REORDER flags working</t>
        </is>
      </c>
      <c r="H58" s="19" t="n"/>
      <c r="I58" s="22">
        <f>IF(OR(C58="",E58="Done"),0,1)</f>
        <v/>
      </c>
    </row>
    <row r="59">
      <c r="A59" s="11" t="n">
        <v>36</v>
      </c>
      <c r="B59" s="17" t="inlineStr">
        <is>
          <t>5 · Store and small stock</t>
        </is>
      </c>
      <c r="C59" s="18" t="inlineStr">
        <is>
          <t>US: first samples and Amazon seller account once product is chosen</t>
        </is>
      </c>
      <c r="D59" s="19" t="inlineStr">
        <is>
          <t>Hubby</t>
        </is>
      </c>
      <c r="E59" s="19" t="inlineStr">
        <is>
          <t>Not started</t>
        </is>
      </c>
      <c r="F59" s="20" t="n"/>
      <c r="G59" s="21" t="inlineStr">
        <is>
          <t>Amazon account verified</t>
        </is>
      </c>
      <c r="H59" s="19" t="n"/>
      <c r="I59" s="22">
        <f>IF(OR(C59="",E59="Done"),0,1)</f>
        <v/>
      </c>
    </row>
    <row r="60">
      <c r="A60" s="15" t="inlineStr">
        <is>
          <t>6 · Grow channels (months 4–6)</t>
        </is>
      </c>
      <c r="B60" s="16" t="n"/>
      <c r="C60" s="16" t="n"/>
      <c r="D60" s="16" t="n"/>
      <c r="E60" s="16" t="n"/>
      <c r="F60" s="16" t="n"/>
      <c r="G60" s="16" t="n"/>
      <c r="H60" s="16" t="n"/>
    </row>
    <row r="61">
      <c r="A61" s="11" t="n">
        <v>37</v>
      </c>
      <c r="B61" s="17" t="inlineStr">
        <is>
          <t>6 · Grow channels</t>
        </is>
      </c>
      <c r="C61" s="18" t="inlineStr">
        <is>
          <t>Apply to sell on Jumia</t>
        </is>
      </c>
      <c r="D61" s="19" t="inlineStr">
        <is>
          <t>Me</t>
        </is>
      </c>
      <c r="E61" s="19" t="inlineStr">
        <is>
          <t>Not started</t>
        </is>
      </c>
      <c r="F61" s="20" t="n"/>
      <c r="G61" s="21" t="inlineStr">
        <is>
          <t>Seller account approved, products listed</t>
        </is>
      </c>
      <c r="H61" s="19" t="n"/>
      <c r="I61" s="22">
        <f>IF(OR(C61="",E61="Done"),0,1)</f>
        <v/>
      </c>
    </row>
    <row r="62">
      <c r="A62" s="11" t="n">
        <v>38</v>
      </c>
      <c r="B62" s="17" t="inlineStr">
        <is>
          <t>6 · Grow channels</t>
        </is>
      </c>
      <c r="C62" s="18" t="inlineStr">
        <is>
          <t>Send products to 5 Nigerian creators in the niche</t>
        </is>
      </c>
      <c r="D62" s="19" t="inlineStr">
        <is>
          <t>Me</t>
        </is>
      </c>
      <c r="E62" s="19" t="inlineStr">
        <is>
          <t>Not started</t>
        </is>
      </c>
      <c r="F62" s="20" t="n"/>
      <c r="G62" s="21" t="inlineStr">
        <is>
          <t>At least 3 creator posts</t>
        </is>
      </c>
      <c r="H62" s="19" t="n"/>
      <c r="I62" s="22">
        <f>IF(OR(C62="",E62="Done"),0,1)</f>
        <v/>
      </c>
    </row>
    <row r="63">
      <c r="A63" s="11" t="n">
        <v>39</v>
      </c>
      <c r="B63" s="17" t="inlineStr">
        <is>
          <t>6 · Grow channels</t>
        </is>
      </c>
      <c r="C63" s="18" t="inlineStr">
        <is>
          <t>Add 2–3 related products and bundles</t>
        </is>
      </c>
      <c r="D63" s="19" t="inlineStr">
        <is>
          <t>Both</t>
        </is>
      </c>
      <c r="E63" s="19" t="inlineStr">
        <is>
          <t>Not started</t>
        </is>
      </c>
      <c r="F63" s="20" t="n"/>
      <c r="G63" s="21" t="inlineStr">
        <is>
          <t>Higher average order value on the Dashboard</t>
        </is>
      </c>
      <c r="H63" s="19" t="n"/>
      <c r="I63" s="22">
        <f>IF(OR(C63="",E63="Done"),0,1)</f>
        <v/>
      </c>
    </row>
    <row r="64">
      <c r="A64" s="11" t="n">
        <v>40</v>
      </c>
      <c r="B64" s="17" t="inlineStr">
        <is>
          <t>6 · Grow channels</t>
        </is>
      </c>
      <c r="C64" s="18" t="inlineStr">
        <is>
          <t>Get quotes from 3 warehouse/fulfilment companies (3PLs)</t>
        </is>
      </c>
      <c r="D64" s="19" t="inlineStr">
        <is>
          <t>Me</t>
        </is>
      </c>
      <c r="E64" s="19" t="inlineStr">
        <is>
          <t>Not started</t>
        </is>
      </c>
      <c r="F64" s="20" t="n"/>
      <c r="G64" s="21" t="inlineStr">
        <is>
          <t>Only once orders reach ~10–20 a day</t>
        </is>
      </c>
      <c r="H64" s="19" t="n"/>
      <c r="I64" s="22">
        <f>IF(OR(C64="",E64="Done"),0,1)</f>
        <v/>
      </c>
    </row>
    <row r="65">
      <c r="A65" s="11" t="n">
        <v>41</v>
      </c>
      <c r="B65" s="17" t="inlineStr">
        <is>
          <t>6 · Grow channels</t>
        </is>
      </c>
      <c r="C65" s="18" t="inlineStr">
        <is>
          <t>File the Crown Global trademark application</t>
        </is>
      </c>
      <c r="D65" s="19" t="inlineStr">
        <is>
          <t>Hubby</t>
        </is>
      </c>
      <c r="E65" s="19" t="inlineStr">
        <is>
          <t>Not started</t>
        </is>
      </c>
      <c r="F65" s="20" t="n"/>
      <c r="G65" s="21" t="inlineStr">
        <is>
          <t>Application number received</t>
        </is>
      </c>
      <c r="H65" s="19" t="n"/>
      <c r="I65" s="22">
        <f>IF(OR(C65="",E65="Done"),0,1)</f>
        <v/>
      </c>
    </row>
    <row r="66">
      <c r="A66" s="15" t="inlineStr">
        <is>
          <t>7 · China trip and bulk buying (end 2026 / early 2027)</t>
        </is>
      </c>
      <c r="B66" s="16" t="n"/>
      <c r="C66" s="16" t="n"/>
      <c r="D66" s="16" t="n"/>
      <c r="E66" s="16" t="n"/>
      <c r="F66" s="16" t="n"/>
      <c r="G66" s="16" t="n"/>
      <c r="H66" s="16" t="n"/>
    </row>
    <row r="67">
      <c r="A67" s="11" t="n">
        <v>42</v>
      </c>
      <c r="B67" s="17" t="inlineStr">
        <is>
          <t>7 · China trip and bulk buying</t>
        </is>
      </c>
      <c r="C67" s="18" t="inlineStr">
        <is>
          <t>Shortlist the factories behind the winning products</t>
        </is>
      </c>
      <c r="D67" s="19" t="inlineStr">
        <is>
          <t>Me</t>
        </is>
      </c>
      <c r="E67" s="19" t="inlineStr">
        <is>
          <t>Not started</t>
        </is>
      </c>
      <c r="F67" s="20" t="n"/>
      <c r="G67" s="21" t="inlineStr">
        <is>
          <t>Factory list with prices and MOQs</t>
        </is>
      </c>
      <c r="H67" s="19" t="n"/>
      <c r="I67" s="22">
        <f>IF(OR(C67="",E67="Done"),0,1)</f>
        <v/>
      </c>
    </row>
    <row r="68">
      <c r="A68" s="11" t="n">
        <v>43</v>
      </c>
      <c r="B68" s="17" t="inlineStr">
        <is>
          <t>7 · China trip and bulk buying</t>
        </is>
      </c>
      <c r="C68" s="18" t="inlineStr">
        <is>
          <t>Visit factories and the Guangzhou/Yiwu markets</t>
        </is>
      </c>
      <c r="D68" s="19" t="inlineStr">
        <is>
          <t>Both</t>
        </is>
      </c>
      <c r="E68" s="19" t="inlineStr">
        <is>
          <t>Not started</t>
        </is>
      </c>
      <c r="F68" s="20" t="n"/>
      <c r="G68" s="21" t="inlineStr">
        <is>
          <t>2–3 factories you trust</t>
        </is>
      </c>
      <c r="H68" s="19" t="n"/>
      <c r="I68" s="22">
        <f>IF(OR(C68="",E68="Done"),0,1)</f>
        <v/>
      </c>
    </row>
    <row r="69">
      <c r="A69" s="11" t="n">
        <v>44</v>
      </c>
      <c r="B69" s="17" t="inlineStr">
        <is>
          <t>7 · China trip and bulk buying</t>
        </is>
      </c>
      <c r="C69" s="18" t="inlineStr">
        <is>
          <t>Negotiate price, minimum order and custom packaging</t>
        </is>
      </c>
      <c r="D69" s="19" t="inlineStr">
        <is>
          <t>Both</t>
        </is>
      </c>
      <c r="E69" s="19" t="inlineStr">
        <is>
          <t>Not started</t>
        </is>
      </c>
      <c r="F69" s="20" t="n"/>
      <c r="G69" s="21" t="inlineStr">
        <is>
          <t>Written quotes</t>
        </is>
      </c>
      <c r="H69" s="19" t="n"/>
      <c r="I69" s="22">
        <f>IF(OR(C69="",E69="Done"),0,1)</f>
        <v/>
      </c>
    </row>
    <row r="70">
      <c r="A70" s="11" t="n">
        <v>45</v>
      </c>
      <c r="B70" s="17" t="inlineStr">
        <is>
          <t>7 · China trip and bulk buying</t>
        </is>
      </c>
      <c r="C70" s="18" t="inlineStr">
        <is>
          <t>Place first bulk order by sea through a freight forwarder</t>
        </is>
      </c>
      <c r="D70" s="19" t="inlineStr">
        <is>
          <t>Both</t>
        </is>
      </c>
      <c r="E70" s="19" t="inlineStr">
        <is>
          <t>Not started</t>
        </is>
      </c>
      <c r="F70" s="20" t="n"/>
      <c r="G70" s="21" t="inlineStr">
        <is>
          <t>Lower cost per unit than air</t>
        </is>
      </c>
      <c r="H70" s="19" t="n"/>
      <c r="I70" s="22">
        <f>IF(OR(C70="",E70="Done"),0,1)</f>
        <v/>
      </c>
    </row>
    <row r="71">
      <c r="A71" s="15" t="inlineStr">
        <is>
          <t>8 · Private label, wholesale, new markets (2027)</t>
        </is>
      </c>
      <c r="B71" s="16" t="n"/>
      <c r="C71" s="16" t="n"/>
      <c r="D71" s="16" t="n"/>
      <c r="E71" s="16" t="n"/>
      <c r="F71" s="16" t="n"/>
      <c r="G71" s="16" t="n"/>
      <c r="H71" s="16" t="n"/>
    </row>
    <row r="72">
      <c r="A72" s="11" t="n">
        <v>46</v>
      </c>
      <c r="B72" s="17" t="inlineStr">
        <is>
          <t>8 · Private label, wholesale, new markets</t>
        </is>
      </c>
      <c r="C72" s="18" t="inlineStr">
        <is>
          <t>Crown Global branded packaging on the best sellers</t>
        </is>
      </c>
      <c r="D72" s="19" t="inlineStr">
        <is>
          <t>Me</t>
        </is>
      </c>
      <c r="E72" s="19" t="inlineStr">
        <is>
          <t>Not started</t>
        </is>
      </c>
      <c r="F72" s="20" t="n"/>
      <c r="G72" s="21" t="inlineStr">
        <is>
          <t>Own-brand product selling</t>
        </is>
      </c>
      <c r="H72" s="19" t="n"/>
      <c r="I72" s="22">
        <f>IF(OR(C72="",E72="Done"),0,1)</f>
        <v/>
      </c>
    </row>
    <row r="73">
      <c r="A73" s="11" t="n">
        <v>47</v>
      </c>
      <c r="B73" s="17" t="inlineStr">
        <is>
          <t>8 · Private label, wholesale, new markets</t>
        </is>
      </c>
      <c r="C73" s="18" t="inlineStr">
        <is>
          <t>Wholesale price list; approach salons and beauty shops</t>
        </is>
      </c>
      <c r="D73" s="19" t="inlineStr">
        <is>
          <t>Me</t>
        </is>
      </c>
      <c r="E73" s="19" t="inlineStr">
        <is>
          <t>Not started</t>
        </is>
      </c>
      <c r="F73" s="20" t="n"/>
      <c r="G73" s="21" t="inlineStr">
        <is>
          <t>First 5 shops stocking Crown Global</t>
        </is>
      </c>
      <c r="H73" s="19" t="n"/>
      <c r="I73" s="22">
        <f>IF(OR(C73="",E73="Done"),0,1)</f>
        <v/>
      </c>
    </row>
    <row r="74">
      <c r="A74" s="11" t="n">
        <v>48</v>
      </c>
      <c r="B74" s="17" t="inlineStr">
        <is>
          <t>8 · Private label, wholesale, new markets</t>
        </is>
      </c>
      <c r="C74" s="18" t="inlineStr">
        <is>
          <t>Wholesale pipeline and reorder reminders per shop</t>
        </is>
      </c>
      <c r="D74" s="19" t="inlineStr">
        <is>
          <t>Me</t>
        </is>
      </c>
      <c r="E74" s="19" t="inlineStr">
        <is>
          <t>Not started</t>
        </is>
      </c>
      <c r="F74" s="20" t="n"/>
      <c r="G74" s="21" t="inlineStr">
        <is>
          <t>Shops reorder monthly</t>
        </is>
      </c>
      <c r="H74" s="19" t="n"/>
      <c r="I74" s="22">
        <f>IF(OR(C74="",E74="Done"),0,1)</f>
        <v/>
      </c>
    </row>
    <row r="75">
      <c r="A75" s="11" t="n">
        <v>49</v>
      </c>
      <c r="B75" s="17" t="inlineStr">
        <is>
          <t>8 · Private label, wholesale, new markets</t>
        </is>
      </c>
      <c r="C75" s="18" t="inlineStr">
        <is>
          <t>Amazon Brand Registry</t>
        </is>
      </c>
      <c r="D75" s="19" t="inlineStr">
        <is>
          <t>Hubby</t>
        </is>
      </c>
      <c r="E75" s="19" t="inlineStr">
        <is>
          <t>Not started</t>
        </is>
      </c>
      <c r="F75" s="20" t="n"/>
      <c r="G75" s="21" t="inlineStr">
        <is>
          <t>Registry approved</t>
        </is>
      </c>
      <c r="H75" s="19" t="n"/>
      <c r="I75" s="22">
        <f>IF(OR(C75="",E75="Done"),0,1)</f>
        <v/>
      </c>
    </row>
    <row r="76">
      <c r="A76" s="11" t="n">
        <v>50</v>
      </c>
      <c r="B76" s="17" t="inlineStr">
        <is>
          <t>8 · Private label, wholesale, new markets</t>
        </is>
      </c>
      <c r="C76" s="18" t="inlineStr">
        <is>
          <t>Plan Ghana and Kenya with local partners</t>
        </is>
      </c>
      <c r="D76" s="19" t="inlineStr">
        <is>
          <t>Both</t>
        </is>
      </c>
      <c r="E76" s="19" t="inlineStr">
        <is>
          <t>Not started</t>
        </is>
      </c>
      <c r="F76" s="20" t="n"/>
      <c r="G76" s="21" t="inlineStr">
        <is>
          <t>First partner in each market</t>
        </is>
      </c>
      <c r="H76" s="19" t="n"/>
      <c r="I76" s="22">
        <f>IF(OR(C76="",E76="Done"),0,1)</f>
        <v/>
      </c>
    </row>
  </sheetData>
  <conditionalFormatting sqref="E18:E76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C18:C76">
    <cfRule type="expression" priority="4" dxfId="3">
      <formula>$E18="Done"</formula>
    </cfRule>
  </conditionalFormatting>
  <dataValidations count="2">
    <dataValidation sqref="E18:E76" showDropDown="0" showInputMessage="0" showErrorMessage="0" allowBlank="1" type="list">
      <formula1>"Not started,In progress,Done,Blocked"</formula1>
    </dataValidation>
    <dataValidation sqref="D18:D76" showDropDown="0" showInputMessage="0" showErrorMessage="0" allowBlank="1" type="list">
      <formula1>"Me,Hubby,Both"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4" customWidth="1" min="4" max="4"/>
    <col width="30" customWidth="1" min="5" max="5"/>
    <col width="16" customWidth="1" min="6" max="6"/>
    <col width="4" customWidth="1" min="7" max="7"/>
    <col width="4" customWidth="1" min="8" max="8"/>
  </cols>
  <sheetData>
    <row r="1"/>
    <row r="2">
      <c r="B2" s="1" t="inlineStr">
        <is>
          <t>Crown Global Nigeria: dashboard</t>
        </is>
      </c>
    </row>
    <row r="3"/>
    <row r="4">
      <c r="B4" s="4" t="inlineStr">
        <is>
          <t>Period start</t>
        </is>
      </c>
      <c r="C4" s="23" t="n">
        <v>46296</v>
      </c>
      <c r="E4" s="7" t="inlineStr">
        <is>
          <t>Change the two yellow dates to see any week or month.</t>
        </is>
      </c>
    </row>
    <row r="5">
      <c r="B5" s="4" t="inlineStr">
        <is>
          <t>Period end</t>
        </is>
      </c>
      <c r="C5" s="23" t="n">
        <v>46326</v>
      </c>
    </row>
    <row r="6"/>
    <row r="7">
      <c r="B7" s="3" t="inlineStr">
        <is>
          <t>MONEY</t>
        </is>
      </c>
      <c r="E7" s="3" t="inlineStr">
        <is>
          <t>ORDERS BY CHANNEL</t>
        </is>
      </c>
    </row>
    <row r="8">
      <c r="B8" s="11" t="inlineStr">
        <is>
          <t>Sales (delivered orders)</t>
        </is>
      </c>
      <c r="C8" s="24">
        <f>SUMIFS(Orders!$O$2:$O$501,Orders!$K$2:$K$501,"Delivered",Orders!$B$2:$B$501,"&gt;="&amp;$C$4,Orders!$B$2:$B$501,"&lt;="&amp;$C$5)</f>
        <v/>
      </c>
      <c r="E8" s="25" t="inlineStr">
        <is>
          <t>Total orders</t>
        </is>
      </c>
      <c r="F8" s="26">
        <f>COUNTIFS(Orders!$B$2:$B$501,"&gt;="&amp;$C$4,Orders!$B$2:$B$501,"&lt;="&amp;$C$5)</f>
        <v/>
      </c>
    </row>
    <row r="9">
      <c r="B9" s="11" t="inlineStr">
        <is>
          <t>+ Delivery fees collected</t>
        </is>
      </c>
      <c r="C9" s="24">
        <f>SUMIFS(Orders!$M$2:$M$501,Orders!$K$2:$K$501,"Delivered",Orders!$B$2:$B$501,"&gt;="&amp;$C$4,Orders!$B$2:$B$501,"&lt;="&amp;$C$5)</f>
        <v/>
      </c>
      <c r="E9" s="11" t="inlineStr">
        <is>
          <t>Instagram</t>
        </is>
      </c>
      <c r="F9" s="27">
        <f>COUNTIFS(Orders!$C$2:$C$501,Settings!$A$8,Orders!$B$2:$B$501,"&gt;="&amp;$C$4,Orders!$B$2:$B$501,"&lt;="&amp;$C$5)</f>
        <v/>
      </c>
    </row>
    <row r="10">
      <c r="B10" s="11" t="inlineStr">
        <is>
          <t>− Product cost</t>
        </is>
      </c>
      <c r="C10" s="24">
        <f>SUMIFS(Orders!$Q$2:$Q$501,Orders!$K$2:$K$501,"Delivered",Orders!$B$2:$B$501,"&gt;="&amp;$C$4,Orders!$B$2:$B$501,"&lt;="&amp;$C$5)</f>
        <v/>
      </c>
      <c r="E10" s="11" t="inlineStr">
        <is>
          <t>WhatsApp</t>
        </is>
      </c>
      <c r="F10" s="27">
        <f>COUNTIFS(Orders!$C$2:$C$501,Settings!$A$9,Orders!$B$2:$B$501,"&gt;="&amp;$C$4,Orders!$B$2:$B$501,"&lt;="&amp;$C$5)</f>
        <v/>
      </c>
    </row>
    <row r="11">
      <c r="B11" s="11" t="inlineStr">
        <is>
          <t>− Marketplace &amp; payment fees</t>
        </is>
      </c>
      <c r="C11" s="24">
        <f>SUMIFS(Orders!$P$2:$P$501,Orders!$K$2:$K$501,"Delivered",Orders!$B$2:$B$501,"&gt;="&amp;$C$4,Orders!$B$2:$B$501,"&lt;="&amp;$C$5)</f>
        <v/>
      </c>
      <c r="E11" s="11" t="inlineStr">
        <is>
          <t>TikTok</t>
        </is>
      </c>
      <c r="F11" s="27">
        <f>COUNTIFS(Orders!$C$2:$C$501,Settings!$A$10,Orders!$B$2:$B$501,"&gt;="&amp;$C$4,Orders!$B$2:$B$501,"&lt;="&amp;$C$5)</f>
        <v/>
      </c>
    </row>
    <row r="12">
      <c r="B12" s="11" t="inlineStr">
        <is>
          <t>− Delivery costs (incl. returns)</t>
        </is>
      </c>
      <c r="C12" s="24">
        <f>SUMIFS(Orders!$N$2:$N$501,Orders!$K$2:$K$501,"Delivered",Orders!$B$2:$B$501,"&gt;="&amp;$C$4,Orders!$B$2:$B$501,"&lt;="&amp;$C$5)+SUMIFS(Orders!$N$2:$N$501,Orders!$K$2:$K$501,"Returned",Orders!$B$2:$B$501,"&gt;="&amp;$C$4,Orders!$B$2:$B$501,"&lt;="&amp;$C$5)+SUMIFS(Orders!$N$2:$N$501,Orders!$K$2:$K$501,"Failed delivery",Orders!$B$2:$B$501,"&gt;="&amp;$C$4,Orders!$B$2:$B$501,"&lt;="&amp;$C$5)</f>
        <v/>
      </c>
      <c r="E12" s="11" t="inlineStr">
        <is>
          <t>Website</t>
        </is>
      </c>
      <c r="F12" s="27">
        <f>COUNTIFS(Orders!$C$2:$C$501,Settings!$A$11,Orders!$B$2:$B$501,"&gt;="&amp;$C$4,Orders!$B$2:$B$501,"&lt;="&amp;$C$5)</f>
        <v/>
      </c>
    </row>
    <row r="13">
      <c r="B13" s="25" t="inlineStr">
        <is>
          <t>Profit from orders</t>
        </is>
      </c>
      <c r="C13" s="28">
        <f>SUMIFS(Orders!$R$2:$R$501,Orders!$B$2:$B$501,"&gt;="&amp;$C$4,Orders!$B$2:$B$501,"&lt;="&amp;$C$5)</f>
        <v/>
      </c>
      <c r="E13" s="11" t="inlineStr">
        <is>
          <t>Jumia</t>
        </is>
      </c>
      <c r="F13" s="27">
        <f>COUNTIFS(Orders!$C$2:$C$501,Settings!$A$12,Orders!$B$2:$B$501,"&gt;="&amp;$C$4,Orders!$B$2:$B$501,"&lt;="&amp;$C$5)</f>
        <v/>
      </c>
    </row>
    <row r="14">
      <c r="B14" s="11" t="inlineStr">
        <is>
          <t>− Ad spend</t>
        </is>
      </c>
      <c r="C14" s="24">
        <f>SUMIFS(Expenses!$D$2:$D$501,Expenses!$B$2:$B$501,"Ads",Expenses!$A$2:$A$501,"&gt;="&amp;$C$4,Expenses!$A$2:$A$501,"&lt;="&amp;$C$5)</f>
        <v/>
      </c>
      <c r="E14" s="11" t="inlineStr">
        <is>
          <t>Jiji</t>
        </is>
      </c>
      <c r="F14" s="27">
        <f>COUNTIFS(Orders!$C$2:$C$501,Settings!$A$13,Orders!$B$2:$B$501,"&gt;="&amp;$C$4,Orders!$B$2:$B$501,"&lt;="&amp;$C$5)</f>
        <v/>
      </c>
    </row>
    <row r="15">
      <c r="B15" s="11" t="inlineStr">
        <is>
          <t>− Other expenses</t>
        </is>
      </c>
      <c r="C15" s="24">
        <f>SUMIFS(Expenses!$D$2:$D$501,Expenses!$A$2:$A$501,"&gt;="&amp;$C$4,Expenses!$A$2:$A$501,"&lt;="&amp;$C$5)-C14</f>
        <v/>
      </c>
      <c r="E15" s="11" t="inlineStr">
        <is>
          <t>Direct</t>
        </is>
      </c>
      <c r="F15" s="27">
        <f>COUNTIFS(Orders!$C$2:$C$501,Settings!$A$14,Orders!$B$2:$B$501,"&gt;="&amp;$C$4,Orders!$B$2:$B$501,"&lt;="&amp;$C$5)</f>
        <v/>
      </c>
    </row>
    <row r="16">
      <c r="B16" s="25" t="inlineStr">
        <is>
          <t>Net profit</t>
        </is>
      </c>
      <c r="C16" s="28">
        <f>C13-C14-C15</f>
        <v/>
      </c>
      <c r="E16" s="11" t="inlineStr">
        <is>
          <t>Other</t>
        </is>
      </c>
      <c r="F16" s="27">
        <f>COUNTIFS(Orders!$C$2:$C$501,Settings!$A$15,Orders!$B$2:$B$501,"&gt;="&amp;$C$4,Orders!$B$2:$B$501,"&lt;="&amp;$C$5)</f>
        <v/>
      </c>
    </row>
    <row r="17">
      <c r="B17" s="11" t="inlineStr">
        <is>
          <t>Net margin on sales</t>
        </is>
      </c>
      <c r="C17" s="29">
        <f>IF(C8=0,"",C16/C8)</f>
        <v/>
      </c>
    </row>
    <row r="18">
      <c r="E18" s="3" t="inlineStr">
        <is>
          <t>INVENTORY</t>
        </is>
      </c>
    </row>
    <row r="19">
      <c r="B19" s="3" t="inlineStr">
        <is>
          <t>FULFILMENT</t>
        </is>
      </c>
      <c r="E19" s="11" t="inlineStr">
        <is>
          <t>Units in stock</t>
        </is>
      </c>
      <c r="F19" s="30">
        <f>SUM(Products!$Q$2:$Q$101)</f>
        <v/>
      </c>
    </row>
    <row r="20">
      <c r="B20" s="11" t="inlineStr">
        <is>
          <t>New</t>
        </is>
      </c>
      <c r="C20" s="27">
        <f>COUNTIFS(Orders!$K$2:$K$501,Settings!$D$19,Orders!$B$2:$B$501,"&gt;="&amp;$C$4,Orders!$B$2:$B$501,"&lt;="&amp;$C$5)</f>
        <v/>
      </c>
      <c r="E20" s="11" t="inlineStr">
        <is>
          <t>Inventory value (at cost)</t>
        </is>
      </c>
      <c r="F20" s="24">
        <f>SUM(Products!$T$2:$T$101)</f>
        <v/>
      </c>
    </row>
    <row r="21">
      <c r="B21" s="11" t="inlineStr">
        <is>
          <t>Awaiting fulfillment</t>
        </is>
      </c>
      <c r="C21" s="27">
        <f>COUNTIFS(Orders!$K$2:$K$501,Settings!$D$20,Orders!$B$2:$B$501,"&gt;="&amp;$C$4,Orders!$B$2:$B$501,"&lt;="&amp;$C$5)</f>
        <v/>
      </c>
      <c r="E21" s="25" t="inlineStr">
        <is>
          <t>Products to reorder</t>
        </is>
      </c>
      <c r="F21" s="31">
        <f>COUNTIF(Products!$S$2:$S$101,"REORDER")</f>
        <v/>
      </c>
    </row>
    <row r="22">
      <c r="B22" s="11" t="inlineStr">
        <is>
          <t>Shipped</t>
        </is>
      </c>
      <c r="C22" s="27">
        <f>COUNTIFS(Orders!$K$2:$K$501,Settings!$D$21,Orders!$B$2:$B$501,"&gt;="&amp;$C$4,Orders!$B$2:$B$501,"&lt;="&amp;$C$5)</f>
        <v/>
      </c>
      <c r="E22" s="11" t="inlineStr">
        <is>
          <t>Active products</t>
        </is>
      </c>
      <c r="F22" s="30">
        <f>COUNTA(Products!$A$2:$A$101)</f>
        <v/>
      </c>
    </row>
    <row r="23">
      <c r="B23" s="11" t="inlineStr">
        <is>
          <t>Delivered</t>
        </is>
      </c>
      <c r="C23" s="27">
        <f>COUNTIFS(Orders!$K$2:$K$501,Settings!$D$22,Orders!$B$2:$B$501,"&gt;="&amp;$C$4,Orders!$B$2:$B$501,"&lt;="&amp;$C$5)</f>
        <v/>
      </c>
    </row>
    <row r="24">
      <c r="B24" s="11" t="inlineStr">
        <is>
          <t>Failed delivery</t>
        </is>
      </c>
      <c r="C24" s="27">
        <f>COUNTIFS(Orders!$K$2:$K$501,Settings!$D$23,Orders!$B$2:$B$501,"&gt;="&amp;$C$4,Orders!$B$2:$B$501,"&lt;="&amp;$C$5)</f>
        <v/>
      </c>
      <c r="E24" s="3" t="inlineStr">
        <is>
          <t>CUSTOMERS</t>
        </is>
      </c>
    </row>
    <row r="25">
      <c r="B25" s="11" t="inlineStr">
        <is>
          <t>Returned</t>
        </is>
      </c>
      <c r="C25" s="27">
        <f>COUNTIFS(Orders!$K$2:$K$501,Settings!$D$24,Orders!$B$2:$B$501,"&gt;="&amp;$C$4,Orders!$B$2:$B$501,"&lt;="&amp;$C$5)</f>
        <v/>
      </c>
      <c r="E25" s="11" t="inlineStr">
        <is>
          <t>Orders from new customers</t>
        </is>
      </c>
      <c r="F25" s="27">
        <f>COUNTIFS(Orders!$S$2:$S$501,"New",Orders!$B$2:$B$501,"&gt;="&amp;$C$4,Orders!$B$2:$B$501,"&lt;="&amp;$C$5)</f>
        <v/>
      </c>
    </row>
    <row r="26">
      <c r="B26" s="11" t="inlineStr">
        <is>
          <t>Cancelled</t>
        </is>
      </c>
      <c r="C26" s="27">
        <f>COUNTIFS(Orders!$K$2:$K$501,Settings!$D$25,Orders!$B$2:$B$501,"&gt;="&amp;$C$4,Orders!$B$2:$B$501,"&lt;="&amp;$C$5)</f>
        <v/>
      </c>
      <c r="E26" s="11" t="inlineStr">
        <is>
          <t>Orders from repeat customers</t>
        </is>
      </c>
      <c r="F26" s="27">
        <f>COUNTIFS(Orders!$S$2:$S$501,"Repeat",Orders!$B$2:$B$501,"&gt;="&amp;$C$4,Orders!$B$2:$B$501,"&lt;="&amp;$C$5)</f>
        <v/>
      </c>
    </row>
    <row r="27">
      <c r="B27" s="25" t="inlineStr">
        <is>
          <t>Return / failed rate</t>
        </is>
      </c>
      <c r="C27" s="32">
        <f>IF((C23+C24+C25)=0,"",(C24+C25)/(C23+C24+C25))</f>
        <v/>
      </c>
      <c r="E27" s="25" t="inlineStr">
        <is>
          <t>Repeat order share</t>
        </is>
      </c>
      <c r="F27" s="32">
        <f>IF((F25+F26)=0,"",F26/(F25+F26))</f>
        <v/>
      </c>
    </row>
    <row r="28">
      <c r="E28" s="11" t="inlineStr">
        <is>
          <t>Average order value</t>
        </is>
      </c>
      <c r="F28" s="24">
        <f>IF(COUNTIFS(Orders!$K$2:$K$501,"Delivered",Orders!$B$2:$B$501,"&gt;="&amp;$C$4,Orders!$B$2:$B$501,"&lt;="&amp;$C$5)=0,"",C8/COUNTIFS(Orders!$K$2:$K$501,"Delivered",Orders!$B$2:$B$501,"&gt;="&amp;$C$4,Orders!$B$2:$B$501,"&lt;="&amp;$C$5))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5" customWidth="1" min="2" max="2"/>
    <col width="10" customWidth="1" min="3" max="3"/>
    <col width="34" customWidth="1" min="4" max="4"/>
    <col width="10" customWidth="1" min="5" max="5"/>
    <col width="11" customWidth="1" min="6" max="6"/>
    <col width="12" customWidth="1" min="7" max="7"/>
    <col width="13" customWidth="1" min="8" max="8"/>
    <col width="12" customWidth="1" min="9" max="9"/>
    <col width="9" customWidth="1" min="10" max="10"/>
    <col width="9" customWidth="1" min="11" max="11"/>
    <col width="10" customWidth="1" min="12" max="12"/>
    <col width="9" customWidth="1" min="13" max="13"/>
    <col width="9" customWidth="1" min="14" max="14"/>
    <col width="11" customWidth="1" min="15" max="15"/>
    <col width="11" customWidth="1" min="16" max="16"/>
    <col width="28" customWidth="1" min="17" max="17"/>
  </cols>
  <sheetData>
    <row r="1" ht="30" customHeight="1">
      <c r="A1" s="33" t="inlineStr">
        <is>
          <t>Product</t>
        </is>
      </c>
      <c r="B1" s="33" t="inlineStr">
        <is>
          <t>Found via</t>
        </is>
      </c>
      <c r="C1" s="33" t="inlineStr">
        <is>
          <t>Market</t>
        </is>
      </c>
      <c r="D1" s="33" t="inlineStr">
        <is>
          <t>Demand signal (what the data shows)</t>
        </is>
      </c>
      <c r="E1" s="33" t="inlineStr">
        <is>
          <t>Demand (1–5)</t>
        </is>
      </c>
      <c r="F1" s="33" t="inlineStr">
        <is>
          <t>Competition (1–5)</t>
        </is>
      </c>
      <c r="G1" s="33" t="inlineStr">
        <is>
          <t>Factory price (₦)</t>
        </is>
      </c>
      <c r="H1" s="33" t="inlineStr">
        <is>
          <t>Est. landed cost (₦)</t>
        </is>
      </c>
      <c r="I1" s="33" t="inlineStr">
        <is>
          <t>Target price (₦)</t>
        </is>
      </c>
      <c r="J1" s="33" t="inlineStr">
        <is>
          <t>Margin %</t>
        </is>
      </c>
      <c r="K1" s="33" t="inlineStr">
        <is>
          <t>Weight (g)</t>
        </is>
      </c>
      <c r="L1" s="33" t="inlineStr">
        <is>
          <t>Regulated?</t>
        </is>
      </c>
      <c r="M1" s="33" t="inlineStr">
        <is>
          <t>Margin score</t>
        </is>
      </c>
      <c r="N1" s="33" t="inlineStr">
        <is>
          <t>Shipping score</t>
        </is>
      </c>
      <c r="O1" s="33" t="inlineStr">
        <is>
          <t>Total score (max 20)</t>
        </is>
      </c>
      <c r="P1" s="33" t="inlineStr">
        <is>
          <t>Decision</t>
        </is>
      </c>
      <c r="Q1" s="33" t="inlineStr">
        <is>
          <t>Notes</t>
        </is>
      </c>
    </row>
    <row r="2">
      <c r="A2" s="34" t="inlineStr">
        <is>
          <t>EX Satin bonnet</t>
        </is>
      </c>
      <c r="B2" s="34" t="inlineStr">
        <is>
          <t>Jumia best-sellers</t>
        </is>
      </c>
      <c r="C2" s="34" t="inlineStr">
        <is>
          <t>Both</t>
        </is>
      </c>
      <c r="D2" s="35" t="inlineStr">
        <is>
          <t>Top 20 in hair accessories; 1,200+ reviews</t>
        </is>
      </c>
      <c r="E2" s="34" t="n">
        <v>5</v>
      </c>
      <c r="F2" s="34" t="n">
        <v>4</v>
      </c>
      <c r="G2" s="36" t="n">
        <v>1400</v>
      </c>
      <c r="H2" s="36" t="n">
        <v>1950</v>
      </c>
      <c r="I2" s="36" t="n">
        <v>7500</v>
      </c>
      <c r="J2" s="37">
        <f>IF(OR(H2="",I2="",I2=0),"",(I2-H2)/I2)</f>
        <v/>
      </c>
      <c r="K2" s="34" t="n">
        <v>60</v>
      </c>
      <c r="L2" s="34" t="inlineStr">
        <is>
          <t>No</t>
        </is>
      </c>
      <c r="M2">
        <f>IF(J2="","",IF(J2&gt;=0.66,5,IF(J2&gt;=0.5,4,IF(J2&gt;=0.4,3,IF(J2&gt;=0.25,2,1)))))</f>
        <v/>
      </c>
      <c r="N2">
        <f>IF(K2="","",IF(K2&lt;=100,5,IF(K2&lt;=250,4,IF(K2&lt;=500,3,IF(K2&lt;=1000,2,1)))))</f>
        <v/>
      </c>
      <c r="O2">
        <f>IF(OR(E2="",F2="",M2="",N2=""),"",E2+(6-F2)+M2+N2-IF(L2="Yes",2,0))</f>
        <v/>
      </c>
      <c r="P2" s="34" t="inlineStr">
        <is>
          <t>Test</t>
        </is>
      </c>
      <c r="Q2" s="34" t="n"/>
    </row>
    <row r="3">
      <c r="A3" s="34" t="inlineStr">
        <is>
          <t>EX Heatless curling rod</t>
        </is>
      </c>
      <c r="B3" s="34" t="inlineStr">
        <is>
          <t>TikTok trend</t>
        </is>
      </c>
      <c r="C3" s="34" t="inlineStr">
        <is>
          <t>Both</t>
        </is>
      </c>
      <c r="D3" s="35" t="inlineStr">
        <is>
          <t>Trending on TikTok; Helium 10 shows rising US searches</t>
        </is>
      </c>
      <c r="E3" s="34" t="n">
        <v>4</v>
      </c>
      <c r="F3" s="34" t="n">
        <v>2</v>
      </c>
      <c r="G3" s="36" t="n">
        <v>1800</v>
      </c>
      <c r="H3" s="36" t="n">
        <v>2600</v>
      </c>
      <c r="I3" s="36" t="n">
        <v>9000</v>
      </c>
      <c r="J3" s="37">
        <f>IF(OR(H3="",I3="",I3=0),"",(I3-H3)/I3)</f>
        <v/>
      </c>
      <c r="K3" s="34" t="n">
        <v>120</v>
      </c>
      <c r="L3" s="34" t="inlineStr">
        <is>
          <t>No</t>
        </is>
      </c>
      <c r="M3">
        <f>IF(J3="","",IF(J3&gt;=0.66,5,IF(J3&gt;=0.5,4,IF(J3&gt;=0.4,3,IF(J3&gt;=0.25,2,1)))))</f>
        <v/>
      </c>
      <c r="N3">
        <f>IF(K3="","",IF(K3&lt;=100,5,IF(K3&lt;=250,4,IF(K3&lt;=500,3,IF(K3&lt;=1000,2,1)))))</f>
        <v/>
      </c>
      <c r="O3">
        <f>IF(OR(E3="",F3="",M3="",N3=""),"",E3+(6-F3)+M3+N3-IF(L3="Yes",2,0))</f>
        <v/>
      </c>
      <c r="P3" s="34" t="inlineStr">
        <is>
          <t>Test</t>
        </is>
      </c>
      <c r="Q3" s="34" t="n"/>
    </row>
    <row r="4">
      <c r="A4" s="34" t="inlineStr">
        <is>
          <t>EX Hair growth oil</t>
        </is>
      </c>
      <c r="B4" s="34" t="inlineStr">
        <is>
          <t>Instagram vendors</t>
        </is>
      </c>
      <c r="C4" s="34" t="inlineStr">
        <is>
          <t>Nigeria</t>
        </is>
      </c>
      <c r="D4" s="35" t="inlineStr">
        <is>
          <t>Many vendors, strong comments</t>
        </is>
      </c>
      <c r="E4" s="34" t="n">
        <v>4</v>
      </c>
      <c r="F4" s="34" t="n">
        <v>5</v>
      </c>
      <c r="G4" s="36" t="n">
        <v>2500</v>
      </c>
      <c r="H4" s="36" t="n">
        <v>3500</v>
      </c>
      <c r="I4" s="36" t="n">
        <v>8000</v>
      </c>
      <c r="J4" s="37">
        <f>IF(OR(H4="",I4="",I4=0),"",(I4-H4)/I4)</f>
        <v/>
      </c>
      <c r="K4" s="34" t="n">
        <v>250</v>
      </c>
      <c r="L4" s="34" t="inlineStr">
        <is>
          <t>Yes</t>
        </is>
      </c>
      <c r="M4">
        <f>IF(J4="","",IF(J4&gt;=0.66,5,IF(J4&gt;=0.5,4,IF(J4&gt;=0.4,3,IF(J4&gt;=0.25,2,1)))))</f>
        <v/>
      </c>
      <c r="N4">
        <f>IF(K4="","",IF(K4&lt;=100,5,IF(K4&lt;=250,4,IF(K4&lt;=500,3,IF(K4&lt;=1000,2,1)))))</f>
        <v/>
      </c>
      <c r="O4">
        <f>IF(OR(E4="",F4="",M4="",N4=""),"",E4+(6-F4)+M4+N4-IF(L4="Yes",2,0))</f>
        <v/>
      </c>
      <c r="P4" s="34" t="inlineStr">
        <is>
          <t>Drop</t>
        </is>
      </c>
      <c r="Q4" s="34" t="n"/>
    </row>
    <row r="5">
      <c r="A5" s="34" t="n"/>
      <c r="B5" s="34" t="n"/>
      <c r="C5" s="34" t="n"/>
      <c r="D5" s="35" t="n"/>
      <c r="E5" s="34" t="n"/>
      <c r="F5" s="34" t="n"/>
      <c r="G5" s="36" t="n"/>
      <c r="H5" s="36" t="n"/>
      <c r="I5" s="36" t="n"/>
      <c r="J5" s="37">
        <f>IF(OR(H5="",I5="",I5=0),"",(I5-H5)/I5)</f>
        <v/>
      </c>
      <c r="K5" s="34" t="n"/>
      <c r="L5" s="34" t="n"/>
      <c r="M5">
        <f>IF(J5="","",IF(J5&gt;=0.66,5,IF(J5&gt;=0.5,4,IF(J5&gt;=0.4,3,IF(J5&gt;=0.25,2,1)))))</f>
        <v/>
      </c>
      <c r="N5">
        <f>IF(K5="","",IF(K5&lt;=100,5,IF(K5&lt;=250,4,IF(K5&lt;=500,3,IF(K5&lt;=1000,2,1)))))</f>
        <v/>
      </c>
      <c r="O5">
        <f>IF(OR(E5="",F5="",M5="",N5=""),"",E5+(6-F5)+M5+N5-IF(L5="Yes",2,0))</f>
        <v/>
      </c>
      <c r="P5" s="34" t="n"/>
      <c r="Q5" s="34" t="n"/>
    </row>
    <row r="6">
      <c r="A6" s="34" t="n"/>
      <c r="B6" s="34" t="n"/>
      <c r="C6" s="34" t="n"/>
      <c r="D6" s="35" t="n"/>
      <c r="E6" s="34" t="n"/>
      <c r="F6" s="34" t="n"/>
      <c r="G6" s="36" t="n"/>
      <c r="H6" s="36" t="n"/>
      <c r="I6" s="36" t="n"/>
      <c r="J6" s="37">
        <f>IF(OR(H6="",I6="",I6=0),"",(I6-H6)/I6)</f>
        <v/>
      </c>
      <c r="K6" s="34" t="n"/>
      <c r="L6" s="34" t="n"/>
      <c r="M6">
        <f>IF(J6="","",IF(J6&gt;=0.66,5,IF(J6&gt;=0.5,4,IF(J6&gt;=0.4,3,IF(J6&gt;=0.25,2,1)))))</f>
        <v/>
      </c>
      <c r="N6">
        <f>IF(K6="","",IF(K6&lt;=100,5,IF(K6&lt;=250,4,IF(K6&lt;=500,3,IF(K6&lt;=1000,2,1)))))</f>
        <v/>
      </c>
      <c r="O6">
        <f>IF(OR(E6="",F6="",M6="",N6=""),"",E6+(6-F6)+M6+N6-IF(L6="Yes",2,0))</f>
        <v/>
      </c>
      <c r="P6" s="34" t="n"/>
      <c r="Q6" s="34" t="n"/>
    </row>
    <row r="7">
      <c r="A7" s="34" t="n"/>
      <c r="B7" s="34" t="n"/>
      <c r="C7" s="34" t="n"/>
      <c r="D7" s="35" t="n"/>
      <c r="E7" s="34" t="n"/>
      <c r="F7" s="34" t="n"/>
      <c r="G7" s="36" t="n"/>
      <c r="H7" s="36" t="n"/>
      <c r="I7" s="36" t="n"/>
      <c r="J7" s="37">
        <f>IF(OR(H7="",I7="",I7=0),"",(I7-H7)/I7)</f>
        <v/>
      </c>
      <c r="K7" s="34" t="n"/>
      <c r="L7" s="34" t="n"/>
      <c r="M7">
        <f>IF(J7="","",IF(J7&gt;=0.66,5,IF(J7&gt;=0.5,4,IF(J7&gt;=0.4,3,IF(J7&gt;=0.25,2,1)))))</f>
        <v/>
      </c>
      <c r="N7">
        <f>IF(K7="","",IF(K7&lt;=100,5,IF(K7&lt;=250,4,IF(K7&lt;=500,3,IF(K7&lt;=1000,2,1)))))</f>
        <v/>
      </c>
      <c r="O7">
        <f>IF(OR(E7="",F7="",M7="",N7=""),"",E7+(6-F7)+M7+N7-IF(L7="Yes",2,0))</f>
        <v/>
      </c>
      <c r="P7" s="34" t="n"/>
      <c r="Q7" s="34" t="n"/>
    </row>
    <row r="8">
      <c r="A8" s="34" t="n"/>
      <c r="B8" s="34" t="n"/>
      <c r="C8" s="34" t="n"/>
      <c r="D8" s="35" t="n"/>
      <c r="E8" s="34" t="n"/>
      <c r="F8" s="34" t="n"/>
      <c r="G8" s="36" t="n"/>
      <c r="H8" s="36" t="n"/>
      <c r="I8" s="36" t="n"/>
      <c r="J8" s="37">
        <f>IF(OR(H8="",I8="",I8=0),"",(I8-H8)/I8)</f>
        <v/>
      </c>
      <c r="K8" s="34" t="n"/>
      <c r="L8" s="34" t="n"/>
      <c r="M8">
        <f>IF(J8="","",IF(J8&gt;=0.66,5,IF(J8&gt;=0.5,4,IF(J8&gt;=0.4,3,IF(J8&gt;=0.25,2,1)))))</f>
        <v/>
      </c>
      <c r="N8">
        <f>IF(K8="","",IF(K8&lt;=100,5,IF(K8&lt;=250,4,IF(K8&lt;=500,3,IF(K8&lt;=1000,2,1)))))</f>
        <v/>
      </c>
      <c r="O8">
        <f>IF(OR(E8="",F8="",M8="",N8=""),"",E8+(6-F8)+M8+N8-IF(L8="Yes",2,0))</f>
        <v/>
      </c>
      <c r="P8" s="34" t="n"/>
      <c r="Q8" s="34" t="n"/>
    </row>
    <row r="9">
      <c r="A9" s="34" t="n"/>
      <c r="B9" s="34" t="n"/>
      <c r="C9" s="34" t="n"/>
      <c r="D9" s="35" t="n"/>
      <c r="E9" s="34" t="n"/>
      <c r="F9" s="34" t="n"/>
      <c r="G9" s="36" t="n"/>
      <c r="H9" s="36" t="n"/>
      <c r="I9" s="36" t="n"/>
      <c r="J9" s="37">
        <f>IF(OR(H9="",I9="",I9=0),"",(I9-H9)/I9)</f>
        <v/>
      </c>
      <c r="K9" s="34" t="n"/>
      <c r="L9" s="34" t="n"/>
      <c r="M9">
        <f>IF(J9="","",IF(J9&gt;=0.66,5,IF(J9&gt;=0.5,4,IF(J9&gt;=0.4,3,IF(J9&gt;=0.25,2,1)))))</f>
        <v/>
      </c>
      <c r="N9">
        <f>IF(K9="","",IF(K9&lt;=100,5,IF(K9&lt;=250,4,IF(K9&lt;=500,3,IF(K9&lt;=1000,2,1)))))</f>
        <v/>
      </c>
      <c r="O9">
        <f>IF(OR(E9="",F9="",M9="",N9=""),"",E9+(6-F9)+M9+N9-IF(L9="Yes",2,0))</f>
        <v/>
      </c>
      <c r="P9" s="34" t="n"/>
      <c r="Q9" s="34" t="n"/>
    </row>
    <row r="10">
      <c r="A10" s="34" t="n"/>
      <c r="B10" s="34" t="n"/>
      <c r="C10" s="34" t="n"/>
      <c r="D10" s="35" t="n"/>
      <c r="E10" s="34" t="n"/>
      <c r="F10" s="34" t="n"/>
      <c r="G10" s="36" t="n"/>
      <c r="H10" s="36" t="n"/>
      <c r="I10" s="36" t="n"/>
      <c r="J10" s="37">
        <f>IF(OR(H10="",I10="",I10=0),"",(I10-H10)/I10)</f>
        <v/>
      </c>
      <c r="K10" s="34" t="n"/>
      <c r="L10" s="34" t="n"/>
      <c r="M10">
        <f>IF(J10="","",IF(J10&gt;=0.66,5,IF(J10&gt;=0.5,4,IF(J10&gt;=0.4,3,IF(J10&gt;=0.25,2,1)))))</f>
        <v/>
      </c>
      <c r="N10">
        <f>IF(K10="","",IF(K10&lt;=100,5,IF(K10&lt;=250,4,IF(K10&lt;=500,3,IF(K10&lt;=1000,2,1)))))</f>
        <v/>
      </c>
      <c r="O10">
        <f>IF(OR(E10="",F10="",M10="",N10=""),"",E10+(6-F10)+M10+N10-IF(L10="Yes",2,0))</f>
        <v/>
      </c>
      <c r="P10" s="34" t="n"/>
      <c r="Q10" s="34" t="n"/>
    </row>
    <row r="11">
      <c r="A11" s="34" t="n"/>
      <c r="B11" s="34" t="n"/>
      <c r="C11" s="34" t="n"/>
      <c r="D11" s="35" t="n"/>
      <c r="E11" s="34" t="n"/>
      <c r="F11" s="34" t="n"/>
      <c r="G11" s="36" t="n"/>
      <c r="H11" s="36" t="n"/>
      <c r="I11" s="36" t="n"/>
      <c r="J11" s="37">
        <f>IF(OR(H11="",I11="",I11=0),"",(I11-H11)/I11)</f>
        <v/>
      </c>
      <c r="K11" s="34" t="n"/>
      <c r="L11" s="34" t="n"/>
      <c r="M11">
        <f>IF(J11="","",IF(J11&gt;=0.66,5,IF(J11&gt;=0.5,4,IF(J11&gt;=0.4,3,IF(J11&gt;=0.25,2,1)))))</f>
        <v/>
      </c>
      <c r="N11">
        <f>IF(K11="","",IF(K11&lt;=100,5,IF(K11&lt;=250,4,IF(K11&lt;=500,3,IF(K11&lt;=1000,2,1)))))</f>
        <v/>
      </c>
      <c r="O11">
        <f>IF(OR(E11="",F11="",M11="",N11=""),"",E11+(6-F11)+M11+N11-IF(L11="Yes",2,0))</f>
        <v/>
      </c>
      <c r="P11" s="34" t="n"/>
      <c r="Q11" s="34" t="n"/>
    </row>
    <row r="12">
      <c r="A12" s="34" t="n"/>
      <c r="B12" s="34" t="n"/>
      <c r="C12" s="34" t="n"/>
      <c r="D12" s="35" t="n"/>
      <c r="E12" s="34" t="n"/>
      <c r="F12" s="34" t="n"/>
      <c r="G12" s="36" t="n"/>
      <c r="H12" s="36" t="n"/>
      <c r="I12" s="36" t="n"/>
      <c r="J12" s="37">
        <f>IF(OR(H12="",I12="",I12=0),"",(I12-H12)/I12)</f>
        <v/>
      </c>
      <c r="K12" s="34" t="n"/>
      <c r="L12" s="34" t="n"/>
      <c r="M12">
        <f>IF(J12="","",IF(J12&gt;=0.66,5,IF(J12&gt;=0.5,4,IF(J12&gt;=0.4,3,IF(J12&gt;=0.25,2,1)))))</f>
        <v/>
      </c>
      <c r="N12">
        <f>IF(K12="","",IF(K12&lt;=100,5,IF(K12&lt;=250,4,IF(K12&lt;=500,3,IF(K12&lt;=1000,2,1)))))</f>
        <v/>
      </c>
      <c r="O12">
        <f>IF(OR(E12="",F12="",M12="",N12=""),"",E12+(6-F12)+M12+N12-IF(L12="Yes",2,0))</f>
        <v/>
      </c>
      <c r="P12" s="34" t="n"/>
      <c r="Q12" s="34" t="n"/>
    </row>
    <row r="13">
      <c r="A13" s="34" t="n"/>
      <c r="B13" s="34" t="n"/>
      <c r="C13" s="34" t="n"/>
      <c r="D13" s="35" t="n"/>
      <c r="E13" s="34" t="n"/>
      <c r="F13" s="34" t="n"/>
      <c r="G13" s="36" t="n"/>
      <c r="H13" s="36" t="n"/>
      <c r="I13" s="36" t="n"/>
      <c r="J13" s="37">
        <f>IF(OR(H13="",I13="",I13=0),"",(I13-H13)/I13)</f>
        <v/>
      </c>
      <c r="K13" s="34" t="n"/>
      <c r="L13" s="34" t="n"/>
      <c r="M13">
        <f>IF(J13="","",IF(J13&gt;=0.66,5,IF(J13&gt;=0.5,4,IF(J13&gt;=0.4,3,IF(J13&gt;=0.25,2,1)))))</f>
        <v/>
      </c>
      <c r="N13">
        <f>IF(K13="","",IF(K13&lt;=100,5,IF(K13&lt;=250,4,IF(K13&lt;=500,3,IF(K13&lt;=1000,2,1)))))</f>
        <v/>
      </c>
      <c r="O13">
        <f>IF(OR(E13="",F13="",M13="",N13=""),"",E13+(6-F13)+M13+N13-IF(L13="Yes",2,0))</f>
        <v/>
      </c>
      <c r="P13" s="34" t="n"/>
      <c r="Q13" s="34" t="n"/>
    </row>
    <row r="14">
      <c r="A14" s="34" t="n"/>
      <c r="B14" s="34" t="n"/>
      <c r="C14" s="34" t="n"/>
      <c r="D14" s="35" t="n"/>
      <c r="E14" s="34" t="n"/>
      <c r="F14" s="34" t="n"/>
      <c r="G14" s="36" t="n"/>
      <c r="H14" s="36" t="n"/>
      <c r="I14" s="36" t="n"/>
      <c r="J14" s="37">
        <f>IF(OR(H14="",I14="",I14=0),"",(I14-H14)/I14)</f>
        <v/>
      </c>
      <c r="K14" s="34" t="n"/>
      <c r="L14" s="34" t="n"/>
      <c r="M14">
        <f>IF(J14="","",IF(J14&gt;=0.66,5,IF(J14&gt;=0.5,4,IF(J14&gt;=0.4,3,IF(J14&gt;=0.25,2,1)))))</f>
        <v/>
      </c>
      <c r="N14">
        <f>IF(K14="","",IF(K14&lt;=100,5,IF(K14&lt;=250,4,IF(K14&lt;=500,3,IF(K14&lt;=1000,2,1)))))</f>
        <v/>
      </c>
      <c r="O14">
        <f>IF(OR(E14="",F14="",M14="",N14=""),"",E14+(6-F14)+M14+N14-IF(L14="Yes",2,0))</f>
        <v/>
      </c>
      <c r="P14" s="34" t="n"/>
      <c r="Q14" s="34" t="n"/>
    </row>
    <row r="15">
      <c r="A15" s="34" t="n"/>
      <c r="B15" s="34" t="n"/>
      <c r="C15" s="34" t="n"/>
      <c r="D15" s="35" t="n"/>
      <c r="E15" s="34" t="n"/>
      <c r="F15" s="34" t="n"/>
      <c r="G15" s="36" t="n"/>
      <c r="H15" s="36" t="n"/>
      <c r="I15" s="36" t="n"/>
      <c r="J15" s="37">
        <f>IF(OR(H15="",I15="",I15=0),"",(I15-H15)/I15)</f>
        <v/>
      </c>
      <c r="K15" s="34" t="n"/>
      <c r="L15" s="34" t="n"/>
      <c r="M15">
        <f>IF(J15="","",IF(J15&gt;=0.66,5,IF(J15&gt;=0.5,4,IF(J15&gt;=0.4,3,IF(J15&gt;=0.25,2,1)))))</f>
        <v/>
      </c>
      <c r="N15">
        <f>IF(K15="","",IF(K15&lt;=100,5,IF(K15&lt;=250,4,IF(K15&lt;=500,3,IF(K15&lt;=1000,2,1)))))</f>
        <v/>
      </c>
      <c r="O15">
        <f>IF(OR(E15="",F15="",M15="",N15=""),"",E15+(6-F15)+M15+N15-IF(L15="Yes",2,0))</f>
        <v/>
      </c>
      <c r="P15" s="34" t="n"/>
      <c r="Q15" s="34" t="n"/>
    </row>
    <row r="16">
      <c r="A16" s="34" t="n"/>
      <c r="B16" s="34" t="n"/>
      <c r="C16" s="34" t="n"/>
      <c r="D16" s="35" t="n"/>
      <c r="E16" s="34" t="n"/>
      <c r="F16" s="34" t="n"/>
      <c r="G16" s="36" t="n"/>
      <c r="H16" s="36" t="n"/>
      <c r="I16" s="36" t="n"/>
      <c r="J16" s="37">
        <f>IF(OR(H16="",I16="",I16=0),"",(I16-H16)/I16)</f>
        <v/>
      </c>
      <c r="K16" s="34" t="n"/>
      <c r="L16" s="34" t="n"/>
      <c r="M16">
        <f>IF(J16="","",IF(J16&gt;=0.66,5,IF(J16&gt;=0.5,4,IF(J16&gt;=0.4,3,IF(J16&gt;=0.25,2,1)))))</f>
        <v/>
      </c>
      <c r="N16">
        <f>IF(K16="","",IF(K16&lt;=100,5,IF(K16&lt;=250,4,IF(K16&lt;=500,3,IF(K16&lt;=1000,2,1)))))</f>
        <v/>
      </c>
      <c r="O16">
        <f>IF(OR(E16="",F16="",M16="",N16=""),"",E16+(6-F16)+M16+N16-IF(L16="Yes",2,0))</f>
        <v/>
      </c>
      <c r="P16" s="34" t="n"/>
      <c r="Q16" s="34" t="n"/>
    </row>
    <row r="17">
      <c r="A17" s="34" t="n"/>
      <c r="B17" s="34" t="n"/>
      <c r="C17" s="34" t="n"/>
      <c r="D17" s="35" t="n"/>
      <c r="E17" s="34" t="n"/>
      <c r="F17" s="34" t="n"/>
      <c r="G17" s="36" t="n"/>
      <c r="H17" s="36" t="n"/>
      <c r="I17" s="36" t="n"/>
      <c r="J17" s="37">
        <f>IF(OR(H17="",I17="",I17=0),"",(I17-H17)/I17)</f>
        <v/>
      </c>
      <c r="K17" s="34" t="n"/>
      <c r="L17" s="34" t="n"/>
      <c r="M17">
        <f>IF(J17="","",IF(J17&gt;=0.66,5,IF(J17&gt;=0.5,4,IF(J17&gt;=0.4,3,IF(J17&gt;=0.25,2,1)))))</f>
        <v/>
      </c>
      <c r="N17">
        <f>IF(K17="","",IF(K17&lt;=100,5,IF(K17&lt;=250,4,IF(K17&lt;=500,3,IF(K17&lt;=1000,2,1)))))</f>
        <v/>
      </c>
      <c r="O17">
        <f>IF(OR(E17="",F17="",M17="",N17=""),"",E17+(6-F17)+M17+N17-IF(L17="Yes",2,0))</f>
        <v/>
      </c>
      <c r="P17" s="34" t="n"/>
      <c r="Q17" s="34" t="n"/>
    </row>
    <row r="18">
      <c r="A18" s="34" t="n"/>
      <c r="B18" s="34" t="n"/>
      <c r="C18" s="34" t="n"/>
      <c r="D18" s="35" t="n"/>
      <c r="E18" s="34" t="n"/>
      <c r="F18" s="34" t="n"/>
      <c r="G18" s="36" t="n"/>
      <c r="H18" s="36" t="n"/>
      <c r="I18" s="36" t="n"/>
      <c r="J18" s="37">
        <f>IF(OR(H18="",I18="",I18=0),"",(I18-H18)/I18)</f>
        <v/>
      </c>
      <c r="K18" s="34" t="n"/>
      <c r="L18" s="34" t="n"/>
      <c r="M18">
        <f>IF(J18="","",IF(J18&gt;=0.66,5,IF(J18&gt;=0.5,4,IF(J18&gt;=0.4,3,IF(J18&gt;=0.25,2,1)))))</f>
        <v/>
      </c>
      <c r="N18">
        <f>IF(K18="","",IF(K18&lt;=100,5,IF(K18&lt;=250,4,IF(K18&lt;=500,3,IF(K18&lt;=1000,2,1)))))</f>
        <v/>
      </c>
      <c r="O18">
        <f>IF(OR(E18="",F18="",M18="",N18=""),"",E18+(6-F18)+M18+N18-IF(L18="Yes",2,0))</f>
        <v/>
      </c>
      <c r="P18" s="34" t="n"/>
      <c r="Q18" s="34" t="n"/>
    </row>
    <row r="19">
      <c r="A19" s="34" t="n"/>
      <c r="B19" s="34" t="n"/>
      <c r="C19" s="34" t="n"/>
      <c r="D19" s="35" t="n"/>
      <c r="E19" s="34" t="n"/>
      <c r="F19" s="34" t="n"/>
      <c r="G19" s="36" t="n"/>
      <c r="H19" s="36" t="n"/>
      <c r="I19" s="36" t="n"/>
      <c r="J19" s="37">
        <f>IF(OR(H19="",I19="",I19=0),"",(I19-H19)/I19)</f>
        <v/>
      </c>
      <c r="K19" s="34" t="n"/>
      <c r="L19" s="34" t="n"/>
      <c r="M19">
        <f>IF(J19="","",IF(J19&gt;=0.66,5,IF(J19&gt;=0.5,4,IF(J19&gt;=0.4,3,IF(J19&gt;=0.25,2,1)))))</f>
        <v/>
      </c>
      <c r="N19">
        <f>IF(K19="","",IF(K19&lt;=100,5,IF(K19&lt;=250,4,IF(K19&lt;=500,3,IF(K19&lt;=1000,2,1)))))</f>
        <v/>
      </c>
      <c r="O19">
        <f>IF(OR(E19="",F19="",M19="",N19=""),"",E19+(6-F19)+M19+N19-IF(L19="Yes",2,0))</f>
        <v/>
      </c>
      <c r="P19" s="34" t="n"/>
      <c r="Q19" s="34" t="n"/>
    </row>
    <row r="20">
      <c r="A20" s="34" t="n"/>
      <c r="B20" s="34" t="n"/>
      <c r="C20" s="34" t="n"/>
      <c r="D20" s="35" t="n"/>
      <c r="E20" s="34" t="n"/>
      <c r="F20" s="34" t="n"/>
      <c r="G20" s="36" t="n"/>
      <c r="H20" s="36" t="n"/>
      <c r="I20" s="36" t="n"/>
      <c r="J20" s="37">
        <f>IF(OR(H20="",I20="",I20=0),"",(I20-H20)/I20)</f>
        <v/>
      </c>
      <c r="K20" s="34" t="n"/>
      <c r="L20" s="34" t="n"/>
      <c r="M20">
        <f>IF(J20="","",IF(J20&gt;=0.66,5,IF(J20&gt;=0.5,4,IF(J20&gt;=0.4,3,IF(J20&gt;=0.25,2,1)))))</f>
        <v/>
      </c>
      <c r="N20">
        <f>IF(K20="","",IF(K20&lt;=100,5,IF(K20&lt;=250,4,IF(K20&lt;=500,3,IF(K20&lt;=1000,2,1)))))</f>
        <v/>
      </c>
      <c r="O20">
        <f>IF(OR(E20="",F20="",M20="",N20=""),"",E20+(6-F20)+M20+N20-IF(L20="Yes",2,0))</f>
        <v/>
      </c>
      <c r="P20" s="34" t="n"/>
      <c r="Q20" s="34" t="n"/>
    </row>
    <row r="21">
      <c r="A21" s="34" t="n"/>
      <c r="B21" s="34" t="n"/>
      <c r="C21" s="34" t="n"/>
      <c r="D21" s="35" t="n"/>
      <c r="E21" s="34" t="n"/>
      <c r="F21" s="34" t="n"/>
      <c r="G21" s="36" t="n"/>
      <c r="H21" s="36" t="n"/>
      <c r="I21" s="36" t="n"/>
      <c r="J21" s="37">
        <f>IF(OR(H21="",I21="",I21=0),"",(I21-H21)/I21)</f>
        <v/>
      </c>
      <c r="K21" s="34" t="n"/>
      <c r="L21" s="34" t="n"/>
      <c r="M21">
        <f>IF(J21="","",IF(J21&gt;=0.66,5,IF(J21&gt;=0.5,4,IF(J21&gt;=0.4,3,IF(J21&gt;=0.25,2,1)))))</f>
        <v/>
      </c>
      <c r="N21">
        <f>IF(K21="","",IF(K21&lt;=100,5,IF(K21&lt;=250,4,IF(K21&lt;=500,3,IF(K21&lt;=1000,2,1)))))</f>
        <v/>
      </c>
      <c r="O21">
        <f>IF(OR(E21="",F21="",M21="",N21=""),"",E21+(6-F21)+M21+N21-IF(L21="Yes",2,0))</f>
        <v/>
      </c>
      <c r="P21" s="34" t="n"/>
      <c r="Q21" s="34" t="n"/>
    </row>
    <row r="22">
      <c r="A22" s="34" t="n"/>
      <c r="B22" s="34" t="n"/>
      <c r="C22" s="34" t="n"/>
      <c r="D22" s="35" t="n"/>
      <c r="E22" s="34" t="n"/>
      <c r="F22" s="34" t="n"/>
      <c r="G22" s="36" t="n"/>
      <c r="H22" s="36" t="n"/>
      <c r="I22" s="36" t="n"/>
      <c r="J22" s="37">
        <f>IF(OR(H22="",I22="",I22=0),"",(I22-H22)/I22)</f>
        <v/>
      </c>
      <c r="K22" s="34" t="n"/>
      <c r="L22" s="34" t="n"/>
      <c r="M22">
        <f>IF(J22="","",IF(J22&gt;=0.66,5,IF(J22&gt;=0.5,4,IF(J22&gt;=0.4,3,IF(J22&gt;=0.25,2,1)))))</f>
        <v/>
      </c>
      <c r="N22">
        <f>IF(K22="","",IF(K22&lt;=100,5,IF(K22&lt;=250,4,IF(K22&lt;=500,3,IF(K22&lt;=1000,2,1)))))</f>
        <v/>
      </c>
      <c r="O22">
        <f>IF(OR(E22="",F22="",M22="",N22=""),"",E22+(6-F22)+M22+N22-IF(L22="Yes",2,0))</f>
        <v/>
      </c>
      <c r="P22" s="34" t="n"/>
      <c r="Q22" s="34" t="n"/>
    </row>
    <row r="23">
      <c r="A23" s="34" t="n"/>
      <c r="B23" s="34" t="n"/>
      <c r="C23" s="34" t="n"/>
      <c r="D23" s="35" t="n"/>
      <c r="E23" s="34" t="n"/>
      <c r="F23" s="34" t="n"/>
      <c r="G23" s="36" t="n"/>
      <c r="H23" s="36" t="n"/>
      <c r="I23" s="36" t="n"/>
      <c r="J23" s="37">
        <f>IF(OR(H23="",I23="",I23=0),"",(I23-H23)/I23)</f>
        <v/>
      </c>
      <c r="K23" s="34" t="n"/>
      <c r="L23" s="34" t="n"/>
      <c r="M23">
        <f>IF(J23="","",IF(J23&gt;=0.66,5,IF(J23&gt;=0.5,4,IF(J23&gt;=0.4,3,IF(J23&gt;=0.25,2,1)))))</f>
        <v/>
      </c>
      <c r="N23">
        <f>IF(K23="","",IF(K23&lt;=100,5,IF(K23&lt;=250,4,IF(K23&lt;=500,3,IF(K23&lt;=1000,2,1)))))</f>
        <v/>
      </c>
      <c r="O23">
        <f>IF(OR(E23="",F23="",M23="",N23=""),"",E23+(6-F23)+M23+N23-IF(L23="Yes",2,0))</f>
        <v/>
      </c>
      <c r="P23" s="34" t="n"/>
      <c r="Q23" s="34" t="n"/>
    </row>
    <row r="24">
      <c r="A24" s="34" t="n"/>
      <c r="B24" s="34" t="n"/>
      <c r="C24" s="34" t="n"/>
      <c r="D24" s="35" t="n"/>
      <c r="E24" s="34" t="n"/>
      <c r="F24" s="34" t="n"/>
      <c r="G24" s="36" t="n"/>
      <c r="H24" s="36" t="n"/>
      <c r="I24" s="36" t="n"/>
      <c r="J24" s="37">
        <f>IF(OR(H24="",I24="",I24=0),"",(I24-H24)/I24)</f>
        <v/>
      </c>
      <c r="K24" s="34" t="n"/>
      <c r="L24" s="34" t="n"/>
      <c r="M24">
        <f>IF(J24="","",IF(J24&gt;=0.66,5,IF(J24&gt;=0.5,4,IF(J24&gt;=0.4,3,IF(J24&gt;=0.25,2,1)))))</f>
        <v/>
      </c>
      <c r="N24">
        <f>IF(K24="","",IF(K24&lt;=100,5,IF(K24&lt;=250,4,IF(K24&lt;=500,3,IF(K24&lt;=1000,2,1)))))</f>
        <v/>
      </c>
      <c r="O24">
        <f>IF(OR(E24="",F24="",M24="",N24=""),"",E24+(6-F24)+M24+N24-IF(L24="Yes",2,0))</f>
        <v/>
      </c>
      <c r="P24" s="34" t="n"/>
      <c r="Q24" s="34" t="n"/>
    </row>
    <row r="25">
      <c r="A25" s="34" t="n"/>
      <c r="B25" s="34" t="n"/>
      <c r="C25" s="34" t="n"/>
      <c r="D25" s="35" t="n"/>
      <c r="E25" s="34" t="n"/>
      <c r="F25" s="34" t="n"/>
      <c r="G25" s="36" t="n"/>
      <c r="H25" s="36" t="n"/>
      <c r="I25" s="36" t="n"/>
      <c r="J25" s="37">
        <f>IF(OR(H25="",I25="",I25=0),"",(I25-H25)/I25)</f>
        <v/>
      </c>
      <c r="K25" s="34" t="n"/>
      <c r="L25" s="34" t="n"/>
      <c r="M25">
        <f>IF(J25="","",IF(J25&gt;=0.66,5,IF(J25&gt;=0.5,4,IF(J25&gt;=0.4,3,IF(J25&gt;=0.25,2,1)))))</f>
        <v/>
      </c>
      <c r="N25">
        <f>IF(K25="","",IF(K25&lt;=100,5,IF(K25&lt;=250,4,IF(K25&lt;=500,3,IF(K25&lt;=1000,2,1)))))</f>
        <v/>
      </c>
      <c r="O25">
        <f>IF(OR(E25="",F25="",M25="",N25=""),"",E25+(6-F25)+M25+N25-IF(L25="Yes",2,0))</f>
        <v/>
      </c>
      <c r="P25" s="34" t="n"/>
      <c r="Q25" s="34" t="n"/>
    </row>
    <row r="26">
      <c r="A26" s="34" t="n"/>
      <c r="B26" s="34" t="n"/>
      <c r="C26" s="34" t="n"/>
      <c r="D26" s="35" t="n"/>
      <c r="E26" s="34" t="n"/>
      <c r="F26" s="34" t="n"/>
      <c r="G26" s="36" t="n"/>
      <c r="H26" s="36" t="n"/>
      <c r="I26" s="36" t="n"/>
      <c r="J26" s="37">
        <f>IF(OR(H26="",I26="",I26=0),"",(I26-H26)/I26)</f>
        <v/>
      </c>
      <c r="K26" s="34" t="n"/>
      <c r="L26" s="34" t="n"/>
      <c r="M26">
        <f>IF(J26="","",IF(J26&gt;=0.66,5,IF(J26&gt;=0.5,4,IF(J26&gt;=0.4,3,IF(J26&gt;=0.25,2,1)))))</f>
        <v/>
      </c>
      <c r="N26">
        <f>IF(K26="","",IF(K26&lt;=100,5,IF(K26&lt;=250,4,IF(K26&lt;=500,3,IF(K26&lt;=1000,2,1)))))</f>
        <v/>
      </c>
      <c r="O26">
        <f>IF(OR(E26="",F26="",M26="",N26=""),"",E26+(6-F26)+M26+N26-IF(L26="Yes",2,0))</f>
        <v/>
      </c>
      <c r="P26" s="34" t="n"/>
      <c r="Q26" s="34" t="n"/>
    </row>
    <row r="27">
      <c r="A27" s="34" t="n"/>
      <c r="B27" s="34" t="n"/>
      <c r="C27" s="34" t="n"/>
      <c r="D27" s="35" t="n"/>
      <c r="E27" s="34" t="n"/>
      <c r="F27" s="34" t="n"/>
      <c r="G27" s="36" t="n"/>
      <c r="H27" s="36" t="n"/>
      <c r="I27" s="36" t="n"/>
      <c r="J27" s="37">
        <f>IF(OR(H27="",I27="",I27=0),"",(I27-H27)/I27)</f>
        <v/>
      </c>
      <c r="K27" s="34" t="n"/>
      <c r="L27" s="34" t="n"/>
      <c r="M27">
        <f>IF(J27="","",IF(J27&gt;=0.66,5,IF(J27&gt;=0.5,4,IF(J27&gt;=0.4,3,IF(J27&gt;=0.25,2,1)))))</f>
        <v/>
      </c>
      <c r="N27">
        <f>IF(K27="","",IF(K27&lt;=100,5,IF(K27&lt;=250,4,IF(K27&lt;=500,3,IF(K27&lt;=1000,2,1)))))</f>
        <v/>
      </c>
      <c r="O27">
        <f>IF(OR(E27="",F27="",M27="",N27=""),"",E27+(6-F27)+M27+N27-IF(L27="Yes",2,0))</f>
        <v/>
      </c>
      <c r="P27" s="34" t="n"/>
      <c r="Q27" s="34" t="n"/>
    </row>
    <row r="28">
      <c r="A28" s="34" t="n"/>
      <c r="B28" s="34" t="n"/>
      <c r="C28" s="34" t="n"/>
      <c r="D28" s="35" t="n"/>
      <c r="E28" s="34" t="n"/>
      <c r="F28" s="34" t="n"/>
      <c r="G28" s="36" t="n"/>
      <c r="H28" s="36" t="n"/>
      <c r="I28" s="36" t="n"/>
      <c r="J28" s="37">
        <f>IF(OR(H28="",I28="",I28=0),"",(I28-H28)/I28)</f>
        <v/>
      </c>
      <c r="K28" s="34" t="n"/>
      <c r="L28" s="34" t="n"/>
      <c r="M28">
        <f>IF(J28="","",IF(J28&gt;=0.66,5,IF(J28&gt;=0.5,4,IF(J28&gt;=0.4,3,IF(J28&gt;=0.25,2,1)))))</f>
        <v/>
      </c>
      <c r="N28">
        <f>IF(K28="","",IF(K28&lt;=100,5,IF(K28&lt;=250,4,IF(K28&lt;=500,3,IF(K28&lt;=1000,2,1)))))</f>
        <v/>
      </c>
      <c r="O28">
        <f>IF(OR(E28="",F28="",M28="",N28=""),"",E28+(6-F28)+M28+N28-IF(L28="Yes",2,0))</f>
        <v/>
      </c>
      <c r="P28" s="34" t="n"/>
      <c r="Q28" s="34" t="n"/>
    </row>
    <row r="29">
      <c r="A29" s="34" t="n"/>
      <c r="B29" s="34" t="n"/>
      <c r="C29" s="34" t="n"/>
      <c r="D29" s="35" t="n"/>
      <c r="E29" s="34" t="n"/>
      <c r="F29" s="34" t="n"/>
      <c r="G29" s="36" t="n"/>
      <c r="H29" s="36" t="n"/>
      <c r="I29" s="36" t="n"/>
      <c r="J29" s="37">
        <f>IF(OR(H29="",I29="",I29=0),"",(I29-H29)/I29)</f>
        <v/>
      </c>
      <c r="K29" s="34" t="n"/>
      <c r="L29" s="34" t="n"/>
      <c r="M29">
        <f>IF(J29="","",IF(J29&gt;=0.66,5,IF(J29&gt;=0.5,4,IF(J29&gt;=0.4,3,IF(J29&gt;=0.25,2,1)))))</f>
        <v/>
      </c>
      <c r="N29">
        <f>IF(K29="","",IF(K29&lt;=100,5,IF(K29&lt;=250,4,IF(K29&lt;=500,3,IF(K29&lt;=1000,2,1)))))</f>
        <v/>
      </c>
      <c r="O29">
        <f>IF(OR(E29="",F29="",M29="",N29=""),"",E29+(6-F29)+M29+N29-IF(L29="Yes",2,0))</f>
        <v/>
      </c>
      <c r="P29" s="34" t="n"/>
      <c r="Q29" s="34" t="n"/>
    </row>
    <row r="30">
      <c r="A30" s="34" t="n"/>
      <c r="B30" s="34" t="n"/>
      <c r="C30" s="34" t="n"/>
      <c r="D30" s="35" t="n"/>
      <c r="E30" s="34" t="n"/>
      <c r="F30" s="34" t="n"/>
      <c r="G30" s="36" t="n"/>
      <c r="H30" s="36" t="n"/>
      <c r="I30" s="36" t="n"/>
      <c r="J30" s="37">
        <f>IF(OR(H30="",I30="",I30=0),"",(I30-H30)/I30)</f>
        <v/>
      </c>
      <c r="K30" s="34" t="n"/>
      <c r="L30" s="34" t="n"/>
      <c r="M30">
        <f>IF(J30="","",IF(J30&gt;=0.66,5,IF(J30&gt;=0.5,4,IF(J30&gt;=0.4,3,IF(J30&gt;=0.25,2,1)))))</f>
        <v/>
      </c>
      <c r="N30">
        <f>IF(K30="","",IF(K30&lt;=100,5,IF(K30&lt;=250,4,IF(K30&lt;=500,3,IF(K30&lt;=1000,2,1)))))</f>
        <v/>
      </c>
      <c r="O30">
        <f>IF(OR(E30="",F30="",M30="",N30=""),"",E30+(6-F30)+M30+N30-IF(L30="Yes",2,0))</f>
        <v/>
      </c>
      <c r="P30" s="34" t="n"/>
      <c r="Q30" s="34" t="n"/>
    </row>
    <row r="31">
      <c r="A31" s="34" t="n"/>
      <c r="B31" s="34" t="n"/>
      <c r="C31" s="34" t="n"/>
      <c r="D31" s="35" t="n"/>
      <c r="E31" s="34" t="n"/>
      <c r="F31" s="34" t="n"/>
      <c r="G31" s="36" t="n"/>
      <c r="H31" s="36" t="n"/>
      <c r="I31" s="36" t="n"/>
      <c r="J31" s="37">
        <f>IF(OR(H31="",I31="",I31=0),"",(I31-H31)/I31)</f>
        <v/>
      </c>
      <c r="K31" s="34" t="n"/>
      <c r="L31" s="34" t="n"/>
      <c r="M31">
        <f>IF(J31="","",IF(J31&gt;=0.66,5,IF(J31&gt;=0.5,4,IF(J31&gt;=0.4,3,IF(J31&gt;=0.25,2,1)))))</f>
        <v/>
      </c>
      <c r="N31">
        <f>IF(K31="","",IF(K31&lt;=100,5,IF(K31&lt;=250,4,IF(K31&lt;=500,3,IF(K31&lt;=1000,2,1)))))</f>
        <v/>
      </c>
      <c r="O31">
        <f>IF(OR(E31="",F31="",M31="",N31=""),"",E31+(6-F31)+M31+N31-IF(L31="Yes",2,0))</f>
        <v/>
      </c>
      <c r="P31" s="34" t="n"/>
      <c r="Q31" s="34" t="n"/>
    </row>
    <row r="32">
      <c r="A32" s="34" t="n"/>
      <c r="B32" s="34" t="n"/>
      <c r="C32" s="34" t="n"/>
      <c r="D32" s="35" t="n"/>
      <c r="E32" s="34" t="n"/>
      <c r="F32" s="34" t="n"/>
      <c r="G32" s="36" t="n"/>
      <c r="H32" s="36" t="n"/>
      <c r="I32" s="36" t="n"/>
      <c r="J32" s="37">
        <f>IF(OR(H32="",I32="",I32=0),"",(I32-H32)/I32)</f>
        <v/>
      </c>
      <c r="K32" s="34" t="n"/>
      <c r="L32" s="34" t="n"/>
      <c r="M32">
        <f>IF(J32="","",IF(J32&gt;=0.66,5,IF(J32&gt;=0.5,4,IF(J32&gt;=0.4,3,IF(J32&gt;=0.25,2,1)))))</f>
        <v/>
      </c>
      <c r="N32">
        <f>IF(K32="","",IF(K32&lt;=100,5,IF(K32&lt;=250,4,IF(K32&lt;=500,3,IF(K32&lt;=1000,2,1)))))</f>
        <v/>
      </c>
      <c r="O32">
        <f>IF(OR(E32="",F32="",M32="",N32=""),"",E32+(6-F32)+M32+N32-IF(L32="Yes",2,0))</f>
        <v/>
      </c>
      <c r="P32" s="34" t="n"/>
      <c r="Q32" s="34" t="n"/>
    </row>
    <row r="33">
      <c r="A33" s="34" t="n"/>
      <c r="B33" s="34" t="n"/>
      <c r="C33" s="34" t="n"/>
      <c r="D33" s="35" t="n"/>
      <c r="E33" s="34" t="n"/>
      <c r="F33" s="34" t="n"/>
      <c r="G33" s="36" t="n"/>
      <c r="H33" s="36" t="n"/>
      <c r="I33" s="36" t="n"/>
      <c r="J33" s="37">
        <f>IF(OR(H33="",I33="",I33=0),"",(I33-H33)/I33)</f>
        <v/>
      </c>
      <c r="K33" s="34" t="n"/>
      <c r="L33" s="34" t="n"/>
      <c r="M33">
        <f>IF(J33="","",IF(J33&gt;=0.66,5,IF(J33&gt;=0.5,4,IF(J33&gt;=0.4,3,IF(J33&gt;=0.25,2,1)))))</f>
        <v/>
      </c>
      <c r="N33">
        <f>IF(K33="","",IF(K33&lt;=100,5,IF(K33&lt;=250,4,IF(K33&lt;=500,3,IF(K33&lt;=1000,2,1)))))</f>
        <v/>
      </c>
      <c r="O33">
        <f>IF(OR(E33="",F33="",M33="",N33=""),"",E33+(6-F33)+M33+N33-IF(L33="Yes",2,0))</f>
        <v/>
      </c>
      <c r="P33" s="34" t="n"/>
      <c r="Q33" s="34" t="n"/>
    </row>
    <row r="34">
      <c r="A34" s="34" t="n"/>
      <c r="B34" s="34" t="n"/>
      <c r="C34" s="34" t="n"/>
      <c r="D34" s="35" t="n"/>
      <c r="E34" s="34" t="n"/>
      <c r="F34" s="34" t="n"/>
      <c r="G34" s="36" t="n"/>
      <c r="H34" s="36" t="n"/>
      <c r="I34" s="36" t="n"/>
      <c r="J34" s="37">
        <f>IF(OR(H34="",I34="",I34=0),"",(I34-H34)/I34)</f>
        <v/>
      </c>
      <c r="K34" s="34" t="n"/>
      <c r="L34" s="34" t="n"/>
      <c r="M34">
        <f>IF(J34="","",IF(J34&gt;=0.66,5,IF(J34&gt;=0.5,4,IF(J34&gt;=0.4,3,IF(J34&gt;=0.25,2,1)))))</f>
        <v/>
      </c>
      <c r="N34">
        <f>IF(K34="","",IF(K34&lt;=100,5,IF(K34&lt;=250,4,IF(K34&lt;=500,3,IF(K34&lt;=1000,2,1)))))</f>
        <v/>
      </c>
      <c r="O34">
        <f>IF(OR(E34="",F34="",M34="",N34=""),"",E34+(6-F34)+M34+N34-IF(L34="Yes",2,0))</f>
        <v/>
      </c>
      <c r="P34" s="34" t="n"/>
      <c r="Q34" s="34" t="n"/>
    </row>
    <row r="35">
      <c r="A35" s="34" t="n"/>
      <c r="B35" s="34" t="n"/>
      <c r="C35" s="34" t="n"/>
      <c r="D35" s="35" t="n"/>
      <c r="E35" s="34" t="n"/>
      <c r="F35" s="34" t="n"/>
      <c r="G35" s="36" t="n"/>
      <c r="H35" s="36" t="n"/>
      <c r="I35" s="36" t="n"/>
      <c r="J35" s="37">
        <f>IF(OR(H35="",I35="",I35=0),"",(I35-H35)/I35)</f>
        <v/>
      </c>
      <c r="K35" s="34" t="n"/>
      <c r="L35" s="34" t="n"/>
      <c r="M35">
        <f>IF(J35="","",IF(J35&gt;=0.66,5,IF(J35&gt;=0.5,4,IF(J35&gt;=0.4,3,IF(J35&gt;=0.25,2,1)))))</f>
        <v/>
      </c>
      <c r="N35">
        <f>IF(K35="","",IF(K35&lt;=100,5,IF(K35&lt;=250,4,IF(K35&lt;=500,3,IF(K35&lt;=1000,2,1)))))</f>
        <v/>
      </c>
      <c r="O35">
        <f>IF(OR(E35="",F35="",M35="",N35=""),"",E35+(6-F35)+M35+N35-IF(L35="Yes",2,0))</f>
        <v/>
      </c>
      <c r="P35" s="34" t="n"/>
      <c r="Q35" s="34" t="n"/>
    </row>
    <row r="36">
      <c r="A36" s="34" t="n"/>
      <c r="B36" s="34" t="n"/>
      <c r="C36" s="34" t="n"/>
      <c r="D36" s="35" t="n"/>
      <c r="E36" s="34" t="n"/>
      <c r="F36" s="34" t="n"/>
      <c r="G36" s="36" t="n"/>
      <c r="H36" s="36" t="n"/>
      <c r="I36" s="36" t="n"/>
      <c r="J36" s="37">
        <f>IF(OR(H36="",I36="",I36=0),"",(I36-H36)/I36)</f>
        <v/>
      </c>
      <c r="K36" s="34" t="n"/>
      <c r="L36" s="34" t="n"/>
      <c r="M36">
        <f>IF(J36="","",IF(J36&gt;=0.66,5,IF(J36&gt;=0.5,4,IF(J36&gt;=0.4,3,IF(J36&gt;=0.25,2,1)))))</f>
        <v/>
      </c>
      <c r="N36">
        <f>IF(K36="","",IF(K36&lt;=100,5,IF(K36&lt;=250,4,IF(K36&lt;=500,3,IF(K36&lt;=1000,2,1)))))</f>
        <v/>
      </c>
      <c r="O36">
        <f>IF(OR(E36="",F36="",M36="",N36=""),"",E36+(6-F36)+M36+N36-IF(L36="Yes",2,0))</f>
        <v/>
      </c>
      <c r="P36" s="34" t="n"/>
      <c r="Q36" s="34" t="n"/>
    </row>
    <row r="37">
      <c r="A37" s="34" t="n"/>
      <c r="B37" s="34" t="n"/>
      <c r="C37" s="34" t="n"/>
      <c r="D37" s="35" t="n"/>
      <c r="E37" s="34" t="n"/>
      <c r="F37" s="34" t="n"/>
      <c r="G37" s="36" t="n"/>
      <c r="H37" s="36" t="n"/>
      <c r="I37" s="36" t="n"/>
      <c r="J37" s="37">
        <f>IF(OR(H37="",I37="",I37=0),"",(I37-H37)/I37)</f>
        <v/>
      </c>
      <c r="K37" s="34" t="n"/>
      <c r="L37" s="34" t="n"/>
      <c r="M37">
        <f>IF(J37="","",IF(J37&gt;=0.66,5,IF(J37&gt;=0.5,4,IF(J37&gt;=0.4,3,IF(J37&gt;=0.25,2,1)))))</f>
        <v/>
      </c>
      <c r="N37">
        <f>IF(K37="","",IF(K37&lt;=100,5,IF(K37&lt;=250,4,IF(K37&lt;=500,3,IF(K37&lt;=1000,2,1)))))</f>
        <v/>
      </c>
      <c r="O37">
        <f>IF(OR(E37="",F37="",M37="",N37=""),"",E37+(6-F37)+M37+N37-IF(L37="Yes",2,0))</f>
        <v/>
      </c>
      <c r="P37" s="34" t="n"/>
      <c r="Q37" s="34" t="n"/>
    </row>
    <row r="38">
      <c r="A38" s="34" t="n"/>
      <c r="B38" s="34" t="n"/>
      <c r="C38" s="34" t="n"/>
      <c r="D38" s="35" t="n"/>
      <c r="E38" s="34" t="n"/>
      <c r="F38" s="34" t="n"/>
      <c r="G38" s="36" t="n"/>
      <c r="H38" s="36" t="n"/>
      <c r="I38" s="36" t="n"/>
      <c r="J38" s="37">
        <f>IF(OR(H38="",I38="",I38=0),"",(I38-H38)/I38)</f>
        <v/>
      </c>
      <c r="K38" s="34" t="n"/>
      <c r="L38" s="34" t="n"/>
      <c r="M38">
        <f>IF(J38="","",IF(J38&gt;=0.66,5,IF(J38&gt;=0.5,4,IF(J38&gt;=0.4,3,IF(J38&gt;=0.25,2,1)))))</f>
        <v/>
      </c>
      <c r="N38">
        <f>IF(K38="","",IF(K38&lt;=100,5,IF(K38&lt;=250,4,IF(K38&lt;=500,3,IF(K38&lt;=1000,2,1)))))</f>
        <v/>
      </c>
      <c r="O38">
        <f>IF(OR(E38="",F38="",M38="",N38=""),"",E38+(6-F38)+M38+N38-IF(L38="Yes",2,0))</f>
        <v/>
      </c>
      <c r="P38" s="34" t="n"/>
      <c r="Q38" s="34" t="n"/>
    </row>
    <row r="39">
      <c r="A39" s="34" t="n"/>
      <c r="B39" s="34" t="n"/>
      <c r="C39" s="34" t="n"/>
      <c r="D39" s="35" t="n"/>
      <c r="E39" s="34" t="n"/>
      <c r="F39" s="34" t="n"/>
      <c r="G39" s="36" t="n"/>
      <c r="H39" s="36" t="n"/>
      <c r="I39" s="36" t="n"/>
      <c r="J39" s="37">
        <f>IF(OR(H39="",I39="",I39=0),"",(I39-H39)/I39)</f>
        <v/>
      </c>
      <c r="K39" s="34" t="n"/>
      <c r="L39" s="34" t="n"/>
      <c r="M39">
        <f>IF(J39="","",IF(J39&gt;=0.66,5,IF(J39&gt;=0.5,4,IF(J39&gt;=0.4,3,IF(J39&gt;=0.25,2,1)))))</f>
        <v/>
      </c>
      <c r="N39">
        <f>IF(K39="","",IF(K39&lt;=100,5,IF(K39&lt;=250,4,IF(K39&lt;=500,3,IF(K39&lt;=1000,2,1)))))</f>
        <v/>
      </c>
      <c r="O39">
        <f>IF(OR(E39="",F39="",M39="",N39=""),"",E39+(6-F39)+M39+N39-IF(L39="Yes",2,0))</f>
        <v/>
      </c>
      <c r="P39" s="34" t="n"/>
      <c r="Q39" s="34" t="n"/>
    </row>
    <row r="40">
      <c r="A40" s="34" t="n"/>
      <c r="B40" s="34" t="n"/>
      <c r="C40" s="34" t="n"/>
      <c r="D40" s="35" t="n"/>
      <c r="E40" s="34" t="n"/>
      <c r="F40" s="34" t="n"/>
      <c r="G40" s="36" t="n"/>
      <c r="H40" s="36" t="n"/>
      <c r="I40" s="36" t="n"/>
      <c r="J40" s="37">
        <f>IF(OR(H40="",I40="",I40=0),"",(I40-H40)/I40)</f>
        <v/>
      </c>
      <c r="K40" s="34" t="n"/>
      <c r="L40" s="34" t="n"/>
      <c r="M40">
        <f>IF(J40="","",IF(J40&gt;=0.66,5,IF(J40&gt;=0.5,4,IF(J40&gt;=0.4,3,IF(J40&gt;=0.25,2,1)))))</f>
        <v/>
      </c>
      <c r="N40">
        <f>IF(K40="","",IF(K40&lt;=100,5,IF(K40&lt;=250,4,IF(K40&lt;=500,3,IF(K40&lt;=1000,2,1)))))</f>
        <v/>
      </c>
      <c r="O40">
        <f>IF(OR(E40="",F40="",M40="",N40=""),"",E40+(6-F40)+M40+N40-IF(L40="Yes",2,0))</f>
        <v/>
      </c>
      <c r="P40" s="34" t="n"/>
      <c r="Q40" s="34" t="n"/>
    </row>
    <row r="41">
      <c r="A41" s="34" t="n"/>
      <c r="B41" s="34" t="n"/>
      <c r="C41" s="34" t="n"/>
      <c r="D41" s="35" t="n"/>
      <c r="E41" s="34" t="n"/>
      <c r="F41" s="34" t="n"/>
      <c r="G41" s="36" t="n"/>
      <c r="H41" s="36" t="n"/>
      <c r="I41" s="36" t="n"/>
      <c r="J41" s="37">
        <f>IF(OR(H41="",I41="",I41=0),"",(I41-H41)/I41)</f>
        <v/>
      </c>
      <c r="K41" s="34" t="n"/>
      <c r="L41" s="34" t="n"/>
      <c r="M41">
        <f>IF(J41="","",IF(J41&gt;=0.66,5,IF(J41&gt;=0.5,4,IF(J41&gt;=0.4,3,IF(J41&gt;=0.25,2,1)))))</f>
        <v/>
      </c>
      <c r="N41">
        <f>IF(K41="","",IF(K41&lt;=100,5,IF(K41&lt;=250,4,IF(K41&lt;=500,3,IF(K41&lt;=1000,2,1)))))</f>
        <v/>
      </c>
      <c r="O41">
        <f>IF(OR(E41="",F41="",M41="",N41=""),"",E41+(6-F41)+M41+N41-IF(L41="Yes",2,0))</f>
        <v/>
      </c>
      <c r="P41" s="34" t="n"/>
      <c r="Q41" s="34" t="n"/>
    </row>
    <row r="42">
      <c r="A42" s="34" t="n"/>
      <c r="B42" s="34" t="n"/>
      <c r="C42" s="34" t="n"/>
      <c r="D42" s="35" t="n"/>
      <c r="E42" s="34" t="n"/>
      <c r="F42" s="34" t="n"/>
      <c r="G42" s="36" t="n"/>
      <c r="H42" s="36" t="n"/>
      <c r="I42" s="36" t="n"/>
      <c r="J42" s="37">
        <f>IF(OR(H42="",I42="",I42=0),"",(I42-H42)/I42)</f>
        <v/>
      </c>
      <c r="K42" s="34" t="n"/>
      <c r="L42" s="34" t="n"/>
      <c r="M42">
        <f>IF(J42="","",IF(J42&gt;=0.66,5,IF(J42&gt;=0.5,4,IF(J42&gt;=0.4,3,IF(J42&gt;=0.25,2,1)))))</f>
        <v/>
      </c>
      <c r="N42">
        <f>IF(K42="","",IF(K42&lt;=100,5,IF(K42&lt;=250,4,IF(K42&lt;=500,3,IF(K42&lt;=1000,2,1)))))</f>
        <v/>
      </c>
      <c r="O42">
        <f>IF(OR(E42="",F42="",M42="",N42=""),"",E42+(6-F42)+M42+N42-IF(L42="Yes",2,0))</f>
        <v/>
      </c>
      <c r="P42" s="34" t="n"/>
      <c r="Q42" s="34" t="n"/>
    </row>
    <row r="43">
      <c r="A43" s="34" t="n"/>
      <c r="B43" s="34" t="n"/>
      <c r="C43" s="34" t="n"/>
      <c r="D43" s="35" t="n"/>
      <c r="E43" s="34" t="n"/>
      <c r="F43" s="34" t="n"/>
      <c r="G43" s="36" t="n"/>
      <c r="H43" s="36" t="n"/>
      <c r="I43" s="36" t="n"/>
      <c r="J43" s="37">
        <f>IF(OR(H43="",I43="",I43=0),"",(I43-H43)/I43)</f>
        <v/>
      </c>
      <c r="K43" s="34" t="n"/>
      <c r="L43" s="34" t="n"/>
      <c r="M43">
        <f>IF(J43="","",IF(J43&gt;=0.66,5,IF(J43&gt;=0.5,4,IF(J43&gt;=0.4,3,IF(J43&gt;=0.25,2,1)))))</f>
        <v/>
      </c>
      <c r="N43">
        <f>IF(K43="","",IF(K43&lt;=100,5,IF(K43&lt;=250,4,IF(K43&lt;=500,3,IF(K43&lt;=1000,2,1)))))</f>
        <v/>
      </c>
      <c r="O43">
        <f>IF(OR(E43="",F43="",M43="",N43=""),"",E43+(6-F43)+M43+N43-IF(L43="Yes",2,0))</f>
        <v/>
      </c>
      <c r="P43" s="34" t="n"/>
      <c r="Q43" s="34" t="n"/>
    </row>
    <row r="44">
      <c r="A44" s="34" t="n"/>
      <c r="B44" s="34" t="n"/>
      <c r="C44" s="34" t="n"/>
      <c r="D44" s="35" t="n"/>
      <c r="E44" s="34" t="n"/>
      <c r="F44" s="34" t="n"/>
      <c r="G44" s="36" t="n"/>
      <c r="H44" s="36" t="n"/>
      <c r="I44" s="36" t="n"/>
      <c r="J44" s="37">
        <f>IF(OR(H44="",I44="",I44=0),"",(I44-H44)/I44)</f>
        <v/>
      </c>
      <c r="K44" s="34" t="n"/>
      <c r="L44" s="34" t="n"/>
      <c r="M44">
        <f>IF(J44="","",IF(J44&gt;=0.66,5,IF(J44&gt;=0.5,4,IF(J44&gt;=0.4,3,IF(J44&gt;=0.25,2,1)))))</f>
        <v/>
      </c>
      <c r="N44">
        <f>IF(K44="","",IF(K44&lt;=100,5,IF(K44&lt;=250,4,IF(K44&lt;=500,3,IF(K44&lt;=1000,2,1)))))</f>
        <v/>
      </c>
      <c r="O44">
        <f>IF(OR(E44="",F44="",M44="",N44=""),"",E44+(6-F44)+M44+N44-IF(L44="Yes",2,0))</f>
        <v/>
      </c>
      <c r="P44" s="34" t="n"/>
      <c r="Q44" s="34" t="n"/>
    </row>
    <row r="45">
      <c r="A45" s="34" t="n"/>
      <c r="B45" s="34" t="n"/>
      <c r="C45" s="34" t="n"/>
      <c r="D45" s="35" t="n"/>
      <c r="E45" s="34" t="n"/>
      <c r="F45" s="34" t="n"/>
      <c r="G45" s="36" t="n"/>
      <c r="H45" s="36" t="n"/>
      <c r="I45" s="36" t="n"/>
      <c r="J45" s="37">
        <f>IF(OR(H45="",I45="",I45=0),"",(I45-H45)/I45)</f>
        <v/>
      </c>
      <c r="K45" s="34" t="n"/>
      <c r="L45" s="34" t="n"/>
      <c r="M45">
        <f>IF(J45="","",IF(J45&gt;=0.66,5,IF(J45&gt;=0.5,4,IF(J45&gt;=0.4,3,IF(J45&gt;=0.25,2,1)))))</f>
        <v/>
      </c>
      <c r="N45">
        <f>IF(K45="","",IF(K45&lt;=100,5,IF(K45&lt;=250,4,IF(K45&lt;=500,3,IF(K45&lt;=1000,2,1)))))</f>
        <v/>
      </c>
      <c r="O45">
        <f>IF(OR(E45="",F45="",M45="",N45=""),"",E45+(6-F45)+M45+N45-IF(L45="Yes",2,0))</f>
        <v/>
      </c>
      <c r="P45" s="34" t="n"/>
      <c r="Q45" s="34" t="n"/>
    </row>
    <row r="46">
      <c r="A46" s="34" t="n"/>
      <c r="B46" s="34" t="n"/>
      <c r="C46" s="34" t="n"/>
      <c r="D46" s="35" t="n"/>
      <c r="E46" s="34" t="n"/>
      <c r="F46" s="34" t="n"/>
      <c r="G46" s="36" t="n"/>
      <c r="H46" s="36" t="n"/>
      <c r="I46" s="36" t="n"/>
      <c r="J46" s="37">
        <f>IF(OR(H46="",I46="",I46=0),"",(I46-H46)/I46)</f>
        <v/>
      </c>
      <c r="K46" s="34" t="n"/>
      <c r="L46" s="34" t="n"/>
      <c r="M46">
        <f>IF(J46="","",IF(J46&gt;=0.66,5,IF(J46&gt;=0.5,4,IF(J46&gt;=0.4,3,IF(J46&gt;=0.25,2,1)))))</f>
        <v/>
      </c>
      <c r="N46">
        <f>IF(K46="","",IF(K46&lt;=100,5,IF(K46&lt;=250,4,IF(K46&lt;=500,3,IF(K46&lt;=1000,2,1)))))</f>
        <v/>
      </c>
      <c r="O46">
        <f>IF(OR(E46="",F46="",M46="",N46=""),"",E46+(6-F46)+M46+N46-IF(L46="Yes",2,0))</f>
        <v/>
      </c>
      <c r="P46" s="34" t="n"/>
      <c r="Q46" s="34" t="n"/>
    </row>
    <row r="47">
      <c r="A47" s="34" t="n"/>
      <c r="B47" s="34" t="n"/>
      <c r="C47" s="34" t="n"/>
      <c r="D47" s="35" t="n"/>
      <c r="E47" s="34" t="n"/>
      <c r="F47" s="34" t="n"/>
      <c r="G47" s="36" t="n"/>
      <c r="H47" s="36" t="n"/>
      <c r="I47" s="36" t="n"/>
      <c r="J47" s="37">
        <f>IF(OR(H47="",I47="",I47=0),"",(I47-H47)/I47)</f>
        <v/>
      </c>
      <c r="K47" s="34" t="n"/>
      <c r="L47" s="34" t="n"/>
      <c r="M47">
        <f>IF(J47="","",IF(J47&gt;=0.66,5,IF(J47&gt;=0.5,4,IF(J47&gt;=0.4,3,IF(J47&gt;=0.25,2,1)))))</f>
        <v/>
      </c>
      <c r="N47">
        <f>IF(K47="","",IF(K47&lt;=100,5,IF(K47&lt;=250,4,IF(K47&lt;=500,3,IF(K47&lt;=1000,2,1)))))</f>
        <v/>
      </c>
      <c r="O47">
        <f>IF(OR(E47="",F47="",M47="",N47=""),"",E47+(6-F47)+M47+N47-IF(L47="Yes",2,0))</f>
        <v/>
      </c>
      <c r="P47" s="34" t="n"/>
      <c r="Q47" s="34" t="n"/>
    </row>
    <row r="48">
      <c r="A48" s="34" t="n"/>
      <c r="B48" s="34" t="n"/>
      <c r="C48" s="34" t="n"/>
      <c r="D48" s="35" t="n"/>
      <c r="E48" s="34" t="n"/>
      <c r="F48" s="34" t="n"/>
      <c r="G48" s="36" t="n"/>
      <c r="H48" s="36" t="n"/>
      <c r="I48" s="36" t="n"/>
      <c r="J48" s="37">
        <f>IF(OR(H48="",I48="",I48=0),"",(I48-H48)/I48)</f>
        <v/>
      </c>
      <c r="K48" s="34" t="n"/>
      <c r="L48" s="34" t="n"/>
      <c r="M48">
        <f>IF(J48="","",IF(J48&gt;=0.66,5,IF(J48&gt;=0.5,4,IF(J48&gt;=0.4,3,IF(J48&gt;=0.25,2,1)))))</f>
        <v/>
      </c>
      <c r="N48">
        <f>IF(K48="","",IF(K48&lt;=100,5,IF(K48&lt;=250,4,IF(K48&lt;=500,3,IF(K48&lt;=1000,2,1)))))</f>
        <v/>
      </c>
      <c r="O48">
        <f>IF(OR(E48="",F48="",M48="",N48=""),"",E48+(6-F48)+M48+N48-IF(L48="Yes",2,0))</f>
        <v/>
      </c>
      <c r="P48" s="34" t="n"/>
      <c r="Q48" s="34" t="n"/>
    </row>
    <row r="49">
      <c r="A49" s="34" t="n"/>
      <c r="B49" s="34" t="n"/>
      <c r="C49" s="34" t="n"/>
      <c r="D49" s="35" t="n"/>
      <c r="E49" s="34" t="n"/>
      <c r="F49" s="34" t="n"/>
      <c r="G49" s="36" t="n"/>
      <c r="H49" s="36" t="n"/>
      <c r="I49" s="36" t="n"/>
      <c r="J49" s="37">
        <f>IF(OR(H49="",I49="",I49=0),"",(I49-H49)/I49)</f>
        <v/>
      </c>
      <c r="K49" s="34" t="n"/>
      <c r="L49" s="34" t="n"/>
      <c r="M49">
        <f>IF(J49="","",IF(J49&gt;=0.66,5,IF(J49&gt;=0.5,4,IF(J49&gt;=0.4,3,IF(J49&gt;=0.25,2,1)))))</f>
        <v/>
      </c>
      <c r="N49">
        <f>IF(K49="","",IF(K49&lt;=100,5,IF(K49&lt;=250,4,IF(K49&lt;=500,3,IF(K49&lt;=1000,2,1)))))</f>
        <v/>
      </c>
      <c r="O49">
        <f>IF(OR(E49="",F49="",M49="",N49=""),"",E49+(6-F49)+M49+N49-IF(L49="Yes",2,0))</f>
        <v/>
      </c>
      <c r="P49" s="34" t="n"/>
      <c r="Q49" s="34" t="n"/>
    </row>
    <row r="50">
      <c r="A50" s="34" t="n"/>
      <c r="B50" s="34" t="n"/>
      <c r="C50" s="34" t="n"/>
      <c r="D50" s="35" t="n"/>
      <c r="E50" s="34" t="n"/>
      <c r="F50" s="34" t="n"/>
      <c r="G50" s="36" t="n"/>
      <c r="H50" s="36" t="n"/>
      <c r="I50" s="36" t="n"/>
      <c r="J50" s="37">
        <f>IF(OR(H50="",I50="",I50=0),"",(I50-H50)/I50)</f>
        <v/>
      </c>
      <c r="K50" s="34" t="n"/>
      <c r="L50" s="34" t="n"/>
      <c r="M50">
        <f>IF(J50="","",IF(J50&gt;=0.66,5,IF(J50&gt;=0.5,4,IF(J50&gt;=0.4,3,IF(J50&gt;=0.25,2,1)))))</f>
        <v/>
      </c>
      <c r="N50">
        <f>IF(K50="","",IF(K50&lt;=100,5,IF(K50&lt;=250,4,IF(K50&lt;=500,3,IF(K50&lt;=1000,2,1)))))</f>
        <v/>
      </c>
      <c r="O50">
        <f>IF(OR(E50="",F50="",M50="",N50=""),"",E50+(6-F50)+M50+N50-IF(L50="Yes",2,0))</f>
        <v/>
      </c>
      <c r="P50" s="34" t="n"/>
      <c r="Q50" s="34" t="n"/>
    </row>
    <row r="51">
      <c r="A51" s="34" t="n"/>
      <c r="B51" s="34" t="n"/>
      <c r="C51" s="34" t="n"/>
      <c r="D51" s="35" t="n"/>
      <c r="E51" s="34" t="n"/>
      <c r="F51" s="34" t="n"/>
      <c r="G51" s="36" t="n"/>
      <c r="H51" s="36" t="n"/>
      <c r="I51" s="36" t="n"/>
      <c r="J51" s="37">
        <f>IF(OR(H51="",I51="",I51=0),"",(I51-H51)/I51)</f>
        <v/>
      </c>
      <c r="K51" s="34" t="n"/>
      <c r="L51" s="34" t="n"/>
      <c r="M51">
        <f>IF(J51="","",IF(J51&gt;=0.66,5,IF(J51&gt;=0.5,4,IF(J51&gt;=0.4,3,IF(J51&gt;=0.25,2,1)))))</f>
        <v/>
      </c>
      <c r="N51">
        <f>IF(K51="","",IF(K51&lt;=100,5,IF(K51&lt;=250,4,IF(K51&lt;=500,3,IF(K51&lt;=1000,2,1)))))</f>
        <v/>
      </c>
      <c r="O51">
        <f>IF(OR(E51="",F51="",M51="",N51=""),"",E51+(6-F51)+M51+N51-IF(L51="Yes",2,0))</f>
        <v/>
      </c>
      <c r="P51" s="34" t="n"/>
      <c r="Q51" s="34" t="n"/>
    </row>
    <row r="52">
      <c r="A52" s="34" t="n"/>
      <c r="B52" s="34" t="n"/>
      <c r="C52" s="34" t="n"/>
      <c r="D52" s="35" t="n"/>
      <c r="E52" s="34" t="n"/>
      <c r="F52" s="34" t="n"/>
      <c r="G52" s="36" t="n"/>
      <c r="H52" s="36" t="n"/>
      <c r="I52" s="36" t="n"/>
      <c r="J52" s="37">
        <f>IF(OR(H52="",I52="",I52=0),"",(I52-H52)/I52)</f>
        <v/>
      </c>
      <c r="K52" s="34" t="n"/>
      <c r="L52" s="34" t="n"/>
      <c r="M52">
        <f>IF(J52="","",IF(J52&gt;=0.66,5,IF(J52&gt;=0.5,4,IF(J52&gt;=0.4,3,IF(J52&gt;=0.25,2,1)))))</f>
        <v/>
      </c>
      <c r="N52">
        <f>IF(K52="","",IF(K52&lt;=100,5,IF(K52&lt;=250,4,IF(K52&lt;=500,3,IF(K52&lt;=1000,2,1)))))</f>
        <v/>
      </c>
      <c r="O52">
        <f>IF(OR(E52="",F52="",M52="",N52=""),"",E52+(6-F52)+M52+N52-IF(L52="Yes",2,0))</f>
        <v/>
      </c>
      <c r="P52" s="34" t="n"/>
      <c r="Q52" s="34" t="n"/>
    </row>
    <row r="53">
      <c r="A53" s="34" t="n"/>
      <c r="B53" s="34" t="n"/>
      <c r="C53" s="34" t="n"/>
      <c r="D53" s="35" t="n"/>
      <c r="E53" s="34" t="n"/>
      <c r="F53" s="34" t="n"/>
      <c r="G53" s="36" t="n"/>
      <c r="H53" s="36" t="n"/>
      <c r="I53" s="36" t="n"/>
      <c r="J53" s="37">
        <f>IF(OR(H53="",I53="",I53=0),"",(I53-H53)/I53)</f>
        <v/>
      </c>
      <c r="K53" s="34" t="n"/>
      <c r="L53" s="34" t="n"/>
      <c r="M53">
        <f>IF(J53="","",IF(J53&gt;=0.66,5,IF(J53&gt;=0.5,4,IF(J53&gt;=0.4,3,IF(J53&gt;=0.25,2,1)))))</f>
        <v/>
      </c>
      <c r="N53">
        <f>IF(K53="","",IF(K53&lt;=100,5,IF(K53&lt;=250,4,IF(K53&lt;=500,3,IF(K53&lt;=1000,2,1)))))</f>
        <v/>
      </c>
      <c r="O53">
        <f>IF(OR(E53="",F53="",M53="",N53=""),"",E53+(6-F53)+M53+N53-IF(L53="Yes",2,0))</f>
        <v/>
      </c>
      <c r="P53" s="34" t="n"/>
      <c r="Q53" s="34" t="n"/>
    </row>
    <row r="54">
      <c r="A54" s="34" t="n"/>
      <c r="B54" s="34" t="n"/>
      <c r="C54" s="34" t="n"/>
      <c r="D54" s="35" t="n"/>
      <c r="E54" s="34" t="n"/>
      <c r="F54" s="34" t="n"/>
      <c r="G54" s="36" t="n"/>
      <c r="H54" s="36" t="n"/>
      <c r="I54" s="36" t="n"/>
      <c r="J54" s="37">
        <f>IF(OR(H54="",I54="",I54=0),"",(I54-H54)/I54)</f>
        <v/>
      </c>
      <c r="K54" s="34" t="n"/>
      <c r="L54" s="34" t="n"/>
      <c r="M54">
        <f>IF(J54="","",IF(J54&gt;=0.66,5,IF(J54&gt;=0.5,4,IF(J54&gt;=0.4,3,IF(J54&gt;=0.25,2,1)))))</f>
        <v/>
      </c>
      <c r="N54">
        <f>IF(K54="","",IF(K54&lt;=100,5,IF(K54&lt;=250,4,IF(K54&lt;=500,3,IF(K54&lt;=1000,2,1)))))</f>
        <v/>
      </c>
      <c r="O54">
        <f>IF(OR(E54="",F54="",M54="",N54=""),"",E54+(6-F54)+M54+N54-IF(L54="Yes",2,0))</f>
        <v/>
      </c>
      <c r="P54" s="34" t="n"/>
      <c r="Q54" s="34" t="n"/>
    </row>
    <row r="55">
      <c r="A55" s="34" t="n"/>
      <c r="B55" s="34" t="n"/>
      <c r="C55" s="34" t="n"/>
      <c r="D55" s="35" t="n"/>
      <c r="E55" s="34" t="n"/>
      <c r="F55" s="34" t="n"/>
      <c r="G55" s="36" t="n"/>
      <c r="H55" s="36" t="n"/>
      <c r="I55" s="36" t="n"/>
      <c r="J55" s="37">
        <f>IF(OR(H55="",I55="",I55=0),"",(I55-H55)/I55)</f>
        <v/>
      </c>
      <c r="K55" s="34" t="n"/>
      <c r="L55" s="34" t="n"/>
      <c r="M55">
        <f>IF(J55="","",IF(J55&gt;=0.66,5,IF(J55&gt;=0.5,4,IF(J55&gt;=0.4,3,IF(J55&gt;=0.25,2,1)))))</f>
        <v/>
      </c>
      <c r="N55">
        <f>IF(K55="","",IF(K55&lt;=100,5,IF(K55&lt;=250,4,IF(K55&lt;=500,3,IF(K55&lt;=1000,2,1)))))</f>
        <v/>
      </c>
      <c r="O55">
        <f>IF(OR(E55="",F55="",M55="",N55=""),"",E55+(6-F55)+M55+N55-IF(L55="Yes",2,0))</f>
        <v/>
      </c>
      <c r="P55" s="34" t="n"/>
      <c r="Q55" s="34" t="n"/>
    </row>
    <row r="56">
      <c r="A56" s="34" t="n"/>
      <c r="B56" s="34" t="n"/>
      <c r="C56" s="34" t="n"/>
      <c r="D56" s="35" t="n"/>
      <c r="E56" s="34" t="n"/>
      <c r="F56" s="34" t="n"/>
      <c r="G56" s="36" t="n"/>
      <c r="H56" s="36" t="n"/>
      <c r="I56" s="36" t="n"/>
      <c r="J56" s="37">
        <f>IF(OR(H56="",I56="",I56=0),"",(I56-H56)/I56)</f>
        <v/>
      </c>
      <c r="K56" s="34" t="n"/>
      <c r="L56" s="34" t="n"/>
      <c r="M56">
        <f>IF(J56="","",IF(J56&gt;=0.66,5,IF(J56&gt;=0.5,4,IF(J56&gt;=0.4,3,IF(J56&gt;=0.25,2,1)))))</f>
        <v/>
      </c>
      <c r="N56">
        <f>IF(K56="","",IF(K56&lt;=100,5,IF(K56&lt;=250,4,IF(K56&lt;=500,3,IF(K56&lt;=1000,2,1)))))</f>
        <v/>
      </c>
      <c r="O56">
        <f>IF(OR(E56="",F56="",M56="",N56=""),"",E56+(6-F56)+M56+N56-IF(L56="Yes",2,0))</f>
        <v/>
      </c>
      <c r="P56" s="34" t="n"/>
      <c r="Q56" s="34" t="n"/>
    </row>
    <row r="57">
      <c r="A57" s="34" t="n"/>
      <c r="B57" s="34" t="n"/>
      <c r="C57" s="34" t="n"/>
      <c r="D57" s="35" t="n"/>
      <c r="E57" s="34" t="n"/>
      <c r="F57" s="34" t="n"/>
      <c r="G57" s="36" t="n"/>
      <c r="H57" s="36" t="n"/>
      <c r="I57" s="36" t="n"/>
      <c r="J57" s="37">
        <f>IF(OR(H57="",I57="",I57=0),"",(I57-H57)/I57)</f>
        <v/>
      </c>
      <c r="K57" s="34" t="n"/>
      <c r="L57" s="34" t="n"/>
      <c r="M57">
        <f>IF(J57="","",IF(J57&gt;=0.66,5,IF(J57&gt;=0.5,4,IF(J57&gt;=0.4,3,IF(J57&gt;=0.25,2,1)))))</f>
        <v/>
      </c>
      <c r="N57">
        <f>IF(K57="","",IF(K57&lt;=100,5,IF(K57&lt;=250,4,IF(K57&lt;=500,3,IF(K57&lt;=1000,2,1)))))</f>
        <v/>
      </c>
      <c r="O57">
        <f>IF(OR(E57="",F57="",M57="",N57=""),"",E57+(6-F57)+M57+N57-IF(L57="Yes",2,0))</f>
        <v/>
      </c>
      <c r="P57" s="34" t="n"/>
      <c r="Q57" s="34" t="n"/>
    </row>
    <row r="58">
      <c r="A58" s="34" t="n"/>
      <c r="B58" s="34" t="n"/>
      <c r="C58" s="34" t="n"/>
      <c r="D58" s="35" t="n"/>
      <c r="E58" s="34" t="n"/>
      <c r="F58" s="34" t="n"/>
      <c r="G58" s="36" t="n"/>
      <c r="H58" s="36" t="n"/>
      <c r="I58" s="36" t="n"/>
      <c r="J58" s="37">
        <f>IF(OR(H58="",I58="",I58=0),"",(I58-H58)/I58)</f>
        <v/>
      </c>
      <c r="K58" s="34" t="n"/>
      <c r="L58" s="34" t="n"/>
      <c r="M58">
        <f>IF(J58="","",IF(J58&gt;=0.66,5,IF(J58&gt;=0.5,4,IF(J58&gt;=0.4,3,IF(J58&gt;=0.25,2,1)))))</f>
        <v/>
      </c>
      <c r="N58">
        <f>IF(K58="","",IF(K58&lt;=100,5,IF(K58&lt;=250,4,IF(K58&lt;=500,3,IF(K58&lt;=1000,2,1)))))</f>
        <v/>
      </c>
      <c r="O58">
        <f>IF(OR(E58="",F58="",M58="",N58=""),"",E58+(6-F58)+M58+N58-IF(L58="Yes",2,0))</f>
        <v/>
      </c>
      <c r="P58" s="34" t="n"/>
      <c r="Q58" s="34" t="n"/>
    </row>
    <row r="59">
      <c r="A59" s="34" t="n"/>
      <c r="B59" s="34" t="n"/>
      <c r="C59" s="34" t="n"/>
      <c r="D59" s="35" t="n"/>
      <c r="E59" s="34" t="n"/>
      <c r="F59" s="34" t="n"/>
      <c r="G59" s="36" t="n"/>
      <c r="H59" s="36" t="n"/>
      <c r="I59" s="36" t="n"/>
      <c r="J59" s="37">
        <f>IF(OR(H59="",I59="",I59=0),"",(I59-H59)/I59)</f>
        <v/>
      </c>
      <c r="K59" s="34" t="n"/>
      <c r="L59" s="34" t="n"/>
      <c r="M59">
        <f>IF(J59="","",IF(J59&gt;=0.66,5,IF(J59&gt;=0.5,4,IF(J59&gt;=0.4,3,IF(J59&gt;=0.25,2,1)))))</f>
        <v/>
      </c>
      <c r="N59">
        <f>IF(K59="","",IF(K59&lt;=100,5,IF(K59&lt;=250,4,IF(K59&lt;=500,3,IF(K59&lt;=1000,2,1)))))</f>
        <v/>
      </c>
      <c r="O59">
        <f>IF(OR(E59="",F59="",M59="",N59=""),"",E59+(6-F59)+M59+N59-IF(L59="Yes",2,0))</f>
        <v/>
      </c>
      <c r="P59" s="34" t="n"/>
      <c r="Q59" s="34" t="n"/>
    </row>
    <row r="60">
      <c r="A60" s="34" t="n"/>
      <c r="B60" s="34" t="n"/>
      <c r="C60" s="34" t="n"/>
      <c r="D60" s="35" t="n"/>
      <c r="E60" s="34" t="n"/>
      <c r="F60" s="34" t="n"/>
      <c r="G60" s="36" t="n"/>
      <c r="H60" s="36" t="n"/>
      <c r="I60" s="36" t="n"/>
      <c r="J60" s="37">
        <f>IF(OR(H60="",I60="",I60=0),"",(I60-H60)/I60)</f>
        <v/>
      </c>
      <c r="K60" s="34" t="n"/>
      <c r="L60" s="34" t="n"/>
      <c r="M60">
        <f>IF(J60="","",IF(J60&gt;=0.66,5,IF(J60&gt;=0.5,4,IF(J60&gt;=0.4,3,IF(J60&gt;=0.25,2,1)))))</f>
        <v/>
      </c>
      <c r="N60">
        <f>IF(K60="","",IF(K60&lt;=100,5,IF(K60&lt;=250,4,IF(K60&lt;=500,3,IF(K60&lt;=1000,2,1)))))</f>
        <v/>
      </c>
      <c r="O60">
        <f>IF(OR(E60="",F60="",M60="",N60=""),"",E60+(6-F60)+M60+N60-IF(L60="Yes",2,0))</f>
        <v/>
      </c>
      <c r="P60" s="34" t="n"/>
      <c r="Q60" s="34" t="n"/>
    </row>
    <row r="61">
      <c r="A61" s="34" t="n"/>
      <c r="B61" s="34" t="n"/>
      <c r="C61" s="34" t="n"/>
      <c r="D61" s="35" t="n"/>
      <c r="E61" s="34" t="n"/>
      <c r="F61" s="34" t="n"/>
      <c r="G61" s="36" t="n"/>
      <c r="H61" s="36" t="n"/>
      <c r="I61" s="36" t="n"/>
      <c r="J61" s="37">
        <f>IF(OR(H61="",I61="",I61=0),"",(I61-H61)/I61)</f>
        <v/>
      </c>
      <c r="K61" s="34" t="n"/>
      <c r="L61" s="34" t="n"/>
      <c r="M61">
        <f>IF(J61="","",IF(J61&gt;=0.66,5,IF(J61&gt;=0.5,4,IF(J61&gt;=0.4,3,IF(J61&gt;=0.25,2,1)))))</f>
        <v/>
      </c>
      <c r="N61">
        <f>IF(K61="","",IF(K61&lt;=100,5,IF(K61&lt;=250,4,IF(K61&lt;=500,3,IF(K61&lt;=1000,2,1)))))</f>
        <v/>
      </c>
      <c r="O61">
        <f>IF(OR(E61="",F61="",M61="",N61=""),"",E61+(6-F61)+M61+N61-IF(L61="Yes",2,0))</f>
        <v/>
      </c>
      <c r="P61" s="34" t="n"/>
      <c r="Q61" s="34" t="n"/>
    </row>
    <row r="62">
      <c r="A62" s="34" t="n"/>
      <c r="B62" s="34" t="n"/>
      <c r="C62" s="34" t="n"/>
      <c r="D62" s="35" t="n"/>
      <c r="E62" s="34" t="n"/>
      <c r="F62" s="34" t="n"/>
      <c r="G62" s="36" t="n"/>
      <c r="H62" s="36" t="n"/>
      <c r="I62" s="36" t="n"/>
      <c r="J62" s="37">
        <f>IF(OR(H62="",I62="",I62=0),"",(I62-H62)/I62)</f>
        <v/>
      </c>
      <c r="K62" s="34" t="n"/>
      <c r="L62" s="34" t="n"/>
      <c r="M62">
        <f>IF(J62="","",IF(J62&gt;=0.66,5,IF(J62&gt;=0.5,4,IF(J62&gt;=0.4,3,IF(J62&gt;=0.25,2,1)))))</f>
        <v/>
      </c>
      <c r="N62">
        <f>IF(K62="","",IF(K62&lt;=100,5,IF(K62&lt;=250,4,IF(K62&lt;=500,3,IF(K62&lt;=1000,2,1)))))</f>
        <v/>
      </c>
      <c r="O62">
        <f>IF(OR(E62="",F62="",M62="",N62=""),"",E62+(6-F62)+M62+N62-IF(L62="Yes",2,0))</f>
        <v/>
      </c>
      <c r="P62" s="34" t="n"/>
      <c r="Q62" s="34" t="n"/>
    </row>
    <row r="63">
      <c r="A63" s="34" t="n"/>
      <c r="B63" s="34" t="n"/>
      <c r="C63" s="34" t="n"/>
      <c r="D63" s="35" t="n"/>
      <c r="E63" s="34" t="n"/>
      <c r="F63" s="34" t="n"/>
      <c r="G63" s="36" t="n"/>
      <c r="H63" s="36" t="n"/>
      <c r="I63" s="36" t="n"/>
      <c r="J63" s="37">
        <f>IF(OR(H63="",I63="",I63=0),"",(I63-H63)/I63)</f>
        <v/>
      </c>
      <c r="K63" s="34" t="n"/>
      <c r="L63" s="34" t="n"/>
      <c r="M63">
        <f>IF(J63="","",IF(J63&gt;=0.66,5,IF(J63&gt;=0.5,4,IF(J63&gt;=0.4,3,IF(J63&gt;=0.25,2,1)))))</f>
        <v/>
      </c>
      <c r="N63">
        <f>IF(K63="","",IF(K63&lt;=100,5,IF(K63&lt;=250,4,IF(K63&lt;=500,3,IF(K63&lt;=1000,2,1)))))</f>
        <v/>
      </c>
      <c r="O63">
        <f>IF(OR(E63="",F63="",M63="",N63=""),"",E63+(6-F63)+M63+N63-IF(L63="Yes",2,0))</f>
        <v/>
      </c>
      <c r="P63" s="34" t="n"/>
      <c r="Q63" s="34" t="n"/>
    </row>
    <row r="64">
      <c r="A64" s="34" t="n"/>
      <c r="B64" s="34" t="n"/>
      <c r="C64" s="34" t="n"/>
      <c r="D64" s="35" t="n"/>
      <c r="E64" s="34" t="n"/>
      <c r="F64" s="34" t="n"/>
      <c r="G64" s="36" t="n"/>
      <c r="H64" s="36" t="n"/>
      <c r="I64" s="36" t="n"/>
      <c r="J64" s="37">
        <f>IF(OR(H64="",I64="",I64=0),"",(I64-H64)/I64)</f>
        <v/>
      </c>
      <c r="K64" s="34" t="n"/>
      <c r="L64" s="34" t="n"/>
      <c r="M64">
        <f>IF(J64="","",IF(J64&gt;=0.66,5,IF(J64&gt;=0.5,4,IF(J64&gt;=0.4,3,IF(J64&gt;=0.25,2,1)))))</f>
        <v/>
      </c>
      <c r="N64">
        <f>IF(K64="","",IF(K64&lt;=100,5,IF(K64&lt;=250,4,IF(K64&lt;=500,3,IF(K64&lt;=1000,2,1)))))</f>
        <v/>
      </c>
      <c r="O64">
        <f>IF(OR(E64="",F64="",M64="",N64=""),"",E64+(6-F64)+M64+N64-IF(L64="Yes",2,0))</f>
        <v/>
      </c>
      <c r="P64" s="34" t="n"/>
      <c r="Q64" s="34" t="n"/>
    </row>
    <row r="65">
      <c r="A65" s="34" t="n"/>
      <c r="B65" s="34" t="n"/>
      <c r="C65" s="34" t="n"/>
      <c r="D65" s="35" t="n"/>
      <c r="E65" s="34" t="n"/>
      <c r="F65" s="34" t="n"/>
      <c r="G65" s="36" t="n"/>
      <c r="H65" s="36" t="n"/>
      <c r="I65" s="36" t="n"/>
      <c r="J65" s="37">
        <f>IF(OR(H65="",I65="",I65=0),"",(I65-H65)/I65)</f>
        <v/>
      </c>
      <c r="K65" s="34" t="n"/>
      <c r="L65" s="34" t="n"/>
      <c r="M65">
        <f>IF(J65="","",IF(J65&gt;=0.66,5,IF(J65&gt;=0.5,4,IF(J65&gt;=0.4,3,IF(J65&gt;=0.25,2,1)))))</f>
        <v/>
      </c>
      <c r="N65">
        <f>IF(K65="","",IF(K65&lt;=100,5,IF(K65&lt;=250,4,IF(K65&lt;=500,3,IF(K65&lt;=1000,2,1)))))</f>
        <v/>
      </c>
      <c r="O65">
        <f>IF(OR(E65="",F65="",M65="",N65=""),"",E65+(6-F65)+M65+N65-IF(L65="Yes",2,0))</f>
        <v/>
      </c>
      <c r="P65" s="34" t="n"/>
      <c r="Q65" s="34" t="n"/>
    </row>
    <row r="66">
      <c r="A66" s="34" t="n"/>
      <c r="B66" s="34" t="n"/>
      <c r="C66" s="34" t="n"/>
      <c r="D66" s="35" t="n"/>
      <c r="E66" s="34" t="n"/>
      <c r="F66" s="34" t="n"/>
      <c r="G66" s="36" t="n"/>
      <c r="H66" s="36" t="n"/>
      <c r="I66" s="36" t="n"/>
      <c r="J66" s="37">
        <f>IF(OR(H66="",I66="",I66=0),"",(I66-H66)/I66)</f>
        <v/>
      </c>
      <c r="K66" s="34" t="n"/>
      <c r="L66" s="34" t="n"/>
      <c r="M66">
        <f>IF(J66="","",IF(J66&gt;=0.66,5,IF(J66&gt;=0.5,4,IF(J66&gt;=0.4,3,IF(J66&gt;=0.25,2,1)))))</f>
        <v/>
      </c>
      <c r="N66">
        <f>IF(K66="","",IF(K66&lt;=100,5,IF(K66&lt;=250,4,IF(K66&lt;=500,3,IF(K66&lt;=1000,2,1)))))</f>
        <v/>
      </c>
      <c r="O66">
        <f>IF(OR(E66="",F66="",M66="",N66=""),"",E66+(6-F66)+M66+N66-IF(L66="Yes",2,0))</f>
        <v/>
      </c>
      <c r="P66" s="34" t="n"/>
      <c r="Q66" s="34" t="n"/>
    </row>
    <row r="67">
      <c r="A67" s="34" t="n"/>
      <c r="B67" s="34" t="n"/>
      <c r="C67" s="34" t="n"/>
      <c r="D67" s="35" t="n"/>
      <c r="E67" s="34" t="n"/>
      <c r="F67" s="34" t="n"/>
      <c r="G67" s="36" t="n"/>
      <c r="H67" s="36" t="n"/>
      <c r="I67" s="36" t="n"/>
      <c r="J67" s="37">
        <f>IF(OR(H67="",I67="",I67=0),"",(I67-H67)/I67)</f>
        <v/>
      </c>
      <c r="K67" s="34" t="n"/>
      <c r="L67" s="34" t="n"/>
      <c r="M67">
        <f>IF(J67="","",IF(J67&gt;=0.66,5,IF(J67&gt;=0.5,4,IF(J67&gt;=0.4,3,IF(J67&gt;=0.25,2,1)))))</f>
        <v/>
      </c>
      <c r="N67">
        <f>IF(K67="","",IF(K67&lt;=100,5,IF(K67&lt;=250,4,IF(K67&lt;=500,3,IF(K67&lt;=1000,2,1)))))</f>
        <v/>
      </c>
      <c r="O67">
        <f>IF(OR(E67="",F67="",M67="",N67=""),"",E67+(6-F67)+M67+N67-IF(L67="Yes",2,0))</f>
        <v/>
      </c>
      <c r="P67" s="34" t="n"/>
      <c r="Q67" s="34" t="n"/>
    </row>
    <row r="68">
      <c r="A68" s="34" t="n"/>
      <c r="B68" s="34" t="n"/>
      <c r="C68" s="34" t="n"/>
      <c r="D68" s="35" t="n"/>
      <c r="E68" s="34" t="n"/>
      <c r="F68" s="34" t="n"/>
      <c r="G68" s="36" t="n"/>
      <c r="H68" s="36" t="n"/>
      <c r="I68" s="36" t="n"/>
      <c r="J68" s="37">
        <f>IF(OR(H68="",I68="",I68=0),"",(I68-H68)/I68)</f>
        <v/>
      </c>
      <c r="K68" s="34" t="n"/>
      <c r="L68" s="34" t="n"/>
      <c r="M68">
        <f>IF(J68="","",IF(J68&gt;=0.66,5,IF(J68&gt;=0.5,4,IF(J68&gt;=0.4,3,IF(J68&gt;=0.25,2,1)))))</f>
        <v/>
      </c>
      <c r="N68">
        <f>IF(K68="","",IF(K68&lt;=100,5,IF(K68&lt;=250,4,IF(K68&lt;=500,3,IF(K68&lt;=1000,2,1)))))</f>
        <v/>
      </c>
      <c r="O68">
        <f>IF(OR(E68="",F68="",M68="",N68=""),"",E68+(6-F68)+M68+N68-IF(L68="Yes",2,0))</f>
        <v/>
      </c>
      <c r="P68" s="34" t="n"/>
      <c r="Q68" s="34" t="n"/>
    </row>
    <row r="69">
      <c r="A69" s="34" t="n"/>
      <c r="B69" s="34" t="n"/>
      <c r="C69" s="34" t="n"/>
      <c r="D69" s="35" t="n"/>
      <c r="E69" s="34" t="n"/>
      <c r="F69" s="34" t="n"/>
      <c r="G69" s="36" t="n"/>
      <c r="H69" s="36" t="n"/>
      <c r="I69" s="36" t="n"/>
      <c r="J69" s="37">
        <f>IF(OR(H69="",I69="",I69=0),"",(I69-H69)/I69)</f>
        <v/>
      </c>
      <c r="K69" s="34" t="n"/>
      <c r="L69" s="34" t="n"/>
      <c r="M69">
        <f>IF(J69="","",IF(J69&gt;=0.66,5,IF(J69&gt;=0.5,4,IF(J69&gt;=0.4,3,IF(J69&gt;=0.25,2,1)))))</f>
        <v/>
      </c>
      <c r="N69">
        <f>IF(K69="","",IF(K69&lt;=100,5,IF(K69&lt;=250,4,IF(K69&lt;=500,3,IF(K69&lt;=1000,2,1)))))</f>
        <v/>
      </c>
      <c r="O69">
        <f>IF(OR(E69="",F69="",M69="",N69=""),"",E69+(6-F69)+M69+N69-IF(L69="Yes",2,0))</f>
        <v/>
      </c>
      <c r="P69" s="34" t="n"/>
      <c r="Q69" s="34" t="n"/>
    </row>
    <row r="70">
      <c r="A70" s="34" t="n"/>
      <c r="B70" s="34" t="n"/>
      <c r="C70" s="34" t="n"/>
      <c r="D70" s="35" t="n"/>
      <c r="E70" s="34" t="n"/>
      <c r="F70" s="34" t="n"/>
      <c r="G70" s="36" t="n"/>
      <c r="H70" s="36" t="n"/>
      <c r="I70" s="36" t="n"/>
      <c r="J70" s="37">
        <f>IF(OR(H70="",I70="",I70=0),"",(I70-H70)/I70)</f>
        <v/>
      </c>
      <c r="K70" s="34" t="n"/>
      <c r="L70" s="34" t="n"/>
      <c r="M70">
        <f>IF(J70="","",IF(J70&gt;=0.66,5,IF(J70&gt;=0.5,4,IF(J70&gt;=0.4,3,IF(J70&gt;=0.25,2,1)))))</f>
        <v/>
      </c>
      <c r="N70">
        <f>IF(K70="","",IF(K70&lt;=100,5,IF(K70&lt;=250,4,IF(K70&lt;=500,3,IF(K70&lt;=1000,2,1)))))</f>
        <v/>
      </c>
      <c r="O70">
        <f>IF(OR(E70="",F70="",M70="",N70=""),"",E70+(6-F70)+M70+N70-IF(L70="Yes",2,0))</f>
        <v/>
      </c>
      <c r="P70" s="34" t="n"/>
      <c r="Q70" s="34" t="n"/>
    </row>
    <row r="71">
      <c r="A71" s="34" t="n"/>
      <c r="B71" s="34" t="n"/>
      <c r="C71" s="34" t="n"/>
      <c r="D71" s="35" t="n"/>
      <c r="E71" s="34" t="n"/>
      <c r="F71" s="34" t="n"/>
      <c r="G71" s="36" t="n"/>
      <c r="H71" s="36" t="n"/>
      <c r="I71" s="36" t="n"/>
      <c r="J71" s="37">
        <f>IF(OR(H71="",I71="",I71=0),"",(I71-H71)/I71)</f>
        <v/>
      </c>
      <c r="K71" s="34" t="n"/>
      <c r="L71" s="34" t="n"/>
      <c r="M71">
        <f>IF(J71="","",IF(J71&gt;=0.66,5,IF(J71&gt;=0.5,4,IF(J71&gt;=0.4,3,IF(J71&gt;=0.25,2,1)))))</f>
        <v/>
      </c>
      <c r="N71">
        <f>IF(K71="","",IF(K71&lt;=100,5,IF(K71&lt;=250,4,IF(K71&lt;=500,3,IF(K71&lt;=1000,2,1)))))</f>
        <v/>
      </c>
      <c r="O71">
        <f>IF(OR(E71="",F71="",M71="",N71=""),"",E71+(6-F71)+M71+N71-IF(L71="Yes",2,0))</f>
        <v/>
      </c>
      <c r="P71" s="34" t="n"/>
      <c r="Q71" s="34" t="n"/>
    </row>
    <row r="72">
      <c r="A72" s="34" t="n"/>
      <c r="B72" s="34" t="n"/>
      <c r="C72" s="34" t="n"/>
      <c r="D72" s="35" t="n"/>
      <c r="E72" s="34" t="n"/>
      <c r="F72" s="34" t="n"/>
      <c r="G72" s="36" t="n"/>
      <c r="H72" s="36" t="n"/>
      <c r="I72" s="36" t="n"/>
      <c r="J72" s="37">
        <f>IF(OR(H72="",I72="",I72=0),"",(I72-H72)/I72)</f>
        <v/>
      </c>
      <c r="K72" s="34" t="n"/>
      <c r="L72" s="34" t="n"/>
      <c r="M72">
        <f>IF(J72="","",IF(J72&gt;=0.66,5,IF(J72&gt;=0.5,4,IF(J72&gt;=0.4,3,IF(J72&gt;=0.25,2,1)))))</f>
        <v/>
      </c>
      <c r="N72">
        <f>IF(K72="","",IF(K72&lt;=100,5,IF(K72&lt;=250,4,IF(K72&lt;=500,3,IF(K72&lt;=1000,2,1)))))</f>
        <v/>
      </c>
      <c r="O72">
        <f>IF(OR(E72="",F72="",M72="",N72=""),"",E72+(6-F72)+M72+N72-IF(L72="Yes",2,0))</f>
        <v/>
      </c>
      <c r="P72" s="34" t="n"/>
      <c r="Q72" s="34" t="n"/>
    </row>
    <row r="73">
      <c r="A73" s="34" t="n"/>
      <c r="B73" s="34" t="n"/>
      <c r="C73" s="34" t="n"/>
      <c r="D73" s="35" t="n"/>
      <c r="E73" s="34" t="n"/>
      <c r="F73" s="34" t="n"/>
      <c r="G73" s="36" t="n"/>
      <c r="H73" s="36" t="n"/>
      <c r="I73" s="36" t="n"/>
      <c r="J73" s="37">
        <f>IF(OR(H73="",I73="",I73=0),"",(I73-H73)/I73)</f>
        <v/>
      </c>
      <c r="K73" s="34" t="n"/>
      <c r="L73" s="34" t="n"/>
      <c r="M73">
        <f>IF(J73="","",IF(J73&gt;=0.66,5,IF(J73&gt;=0.5,4,IF(J73&gt;=0.4,3,IF(J73&gt;=0.25,2,1)))))</f>
        <v/>
      </c>
      <c r="N73">
        <f>IF(K73="","",IF(K73&lt;=100,5,IF(K73&lt;=250,4,IF(K73&lt;=500,3,IF(K73&lt;=1000,2,1)))))</f>
        <v/>
      </c>
      <c r="O73">
        <f>IF(OR(E73="",F73="",M73="",N73=""),"",E73+(6-F73)+M73+N73-IF(L73="Yes",2,0))</f>
        <v/>
      </c>
      <c r="P73" s="34" t="n"/>
      <c r="Q73" s="34" t="n"/>
    </row>
    <row r="74">
      <c r="A74" s="34" t="n"/>
      <c r="B74" s="34" t="n"/>
      <c r="C74" s="34" t="n"/>
      <c r="D74" s="35" t="n"/>
      <c r="E74" s="34" t="n"/>
      <c r="F74" s="34" t="n"/>
      <c r="G74" s="36" t="n"/>
      <c r="H74" s="36" t="n"/>
      <c r="I74" s="36" t="n"/>
      <c r="J74" s="37">
        <f>IF(OR(H74="",I74="",I74=0),"",(I74-H74)/I74)</f>
        <v/>
      </c>
      <c r="K74" s="34" t="n"/>
      <c r="L74" s="34" t="n"/>
      <c r="M74">
        <f>IF(J74="","",IF(J74&gt;=0.66,5,IF(J74&gt;=0.5,4,IF(J74&gt;=0.4,3,IF(J74&gt;=0.25,2,1)))))</f>
        <v/>
      </c>
      <c r="N74">
        <f>IF(K74="","",IF(K74&lt;=100,5,IF(K74&lt;=250,4,IF(K74&lt;=500,3,IF(K74&lt;=1000,2,1)))))</f>
        <v/>
      </c>
      <c r="O74">
        <f>IF(OR(E74="",F74="",M74="",N74=""),"",E74+(6-F74)+M74+N74-IF(L74="Yes",2,0))</f>
        <v/>
      </c>
      <c r="P74" s="34" t="n"/>
      <c r="Q74" s="34" t="n"/>
    </row>
    <row r="75">
      <c r="A75" s="34" t="n"/>
      <c r="B75" s="34" t="n"/>
      <c r="C75" s="34" t="n"/>
      <c r="D75" s="35" t="n"/>
      <c r="E75" s="34" t="n"/>
      <c r="F75" s="34" t="n"/>
      <c r="G75" s="36" t="n"/>
      <c r="H75" s="36" t="n"/>
      <c r="I75" s="36" t="n"/>
      <c r="J75" s="37">
        <f>IF(OR(H75="",I75="",I75=0),"",(I75-H75)/I75)</f>
        <v/>
      </c>
      <c r="K75" s="34" t="n"/>
      <c r="L75" s="34" t="n"/>
      <c r="M75">
        <f>IF(J75="","",IF(J75&gt;=0.66,5,IF(J75&gt;=0.5,4,IF(J75&gt;=0.4,3,IF(J75&gt;=0.25,2,1)))))</f>
        <v/>
      </c>
      <c r="N75">
        <f>IF(K75="","",IF(K75&lt;=100,5,IF(K75&lt;=250,4,IF(K75&lt;=500,3,IF(K75&lt;=1000,2,1)))))</f>
        <v/>
      </c>
      <c r="O75">
        <f>IF(OR(E75="",F75="",M75="",N75=""),"",E75+(6-F75)+M75+N75-IF(L75="Yes",2,0))</f>
        <v/>
      </c>
      <c r="P75" s="34" t="n"/>
      <c r="Q75" s="34" t="n"/>
    </row>
    <row r="76">
      <c r="A76" s="34" t="n"/>
      <c r="B76" s="34" t="n"/>
      <c r="C76" s="34" t="n"/>
      <c r="D76" s="35" t="n"/>
      <c r="E76" s="34" t="n"/>
      <c r="F76" s="34" t="n"/>
      <c r="G76" s="36" t="n"/>
      <c r="H76" s="36" t="n"/>
      <c r="I76" s="36" t="n"/>
      <c r="J76" s="37">
        <f>IF(OR(H76="",I76="",I76=0),"",(I76-H76)/I76)</f>
        <v/>
      </c>
      <c r="K76" s="34" t="n"/>
      <c r="L76" s="34" t="n"/>
      <c r="M76">
        <f>IF(J76="","",IF(J76&gt;=0.66,5,IF(J76&gt;=0.5,4,IF(J76&gt;=0.4,3,IF(J76&gt;=0.25,2,1)))))</f>
        <v/>
      </c>
      <c r="N76">
        <f>IF(K76="","",IF(K76&lt;=100,5,IF(K76&lt;=250,4,IF(K76&lt;=500,3,IF(K76&lt;=1000,2,1)))))</f>
        <v/>
      </c>
      <c r="O76">
        <f>IF(OR(E76="",F76="",M76="",N76=""),"",E76+(6-F76)+M76+N76-IF(L76="Yes",2,0))</f>
        <v/>
      </c>
      <c r="P76" s="34" t="n"/>
      <c r="Q76" s="34" t="n"/>
    </row>
    <row r="77">
      <c r="A77" s="34" t="n"/>
      <c r="B77" s="34" t="n"/>
      <c r="C77" s="34" t="n"/>
      <c r="D77" s="35" t="n"/>
      <c r="E77" s="34" t="n"/>
      <c r="F77" s="34" t="n"/>
      <c r="G77" s="36" t="n"/>
      <c r="H77" s="36" t="n"/>
      <c r="I77" s="36" t="n"/>
      <c r="J77" s="37">
        <f>IF(OR(H77="",I77="",I77=0),"",(I77-H77)/I77)</f>
        <v/>
      </c>
      <c r="K77" s="34" t="n"/>
      <c r="L77" s="34" t="n"/>
      <c r="M77">
        <f>IF(J77="","",IF(J77&gt;=0.66,5,IF(J77&gt;=0.5,4,IF(J77&gt;=0.4,3,IF(J77&gt;=0.25,2,1)))))</f>
        <v/>
      </c>
      <c r="N77">
        <f>IF(K77="","",IF(K77&lt;=100,5,IF(K77&lt;=250,4,IF(K77&lt;=500,3,IF(K77&lt;=1000,2,1)))))</f>
        <v/>
      </c>
      <c r="O77">
        <f>IF(OR(E77="",F77="",M77="",N77=""),"",E77+(6-F77)+M77+N77-IF(L77="Yes",2,0))</f>
        <v/>
      </c>
      <c r="P77" s="34" t="n"/>
      <c r="Q77" s="34" t="n"/>
    </row>
    <row r="78">
      <c r="A78" s="34" t="n"/>
      <c r="B78" s="34" t="n"/>
      <c r="C78" s="34" t="n"/>
      <c r="D78" s="35" t="n"/>
      <c r="E78" s="34" t="n"/>
      <c r="F78" s="34" t="n"/>
      <c r="G78" s="36" t="n"/>
      <c r="H78" s="36" t="n"/>
      <c r="I78" s="36" t="n"/>
      <c r="J78" s="37">
        <f>IF(OR(H78="",I78="",I78=0),"",(I78-H78)/I78)</f>
        <v/>
      </c>
      <c r="K78" s="34" t="n"/>
      <c r="L78" s="34" t="n"/>
      <c r="M78">
        <f>IF(J78="","",IF(J78&gt;=0.66,5,IF(J78&gt;=0.5,4,IF(J78&gt;=0.4,3,IF(J78&gt;=0.25,2,1)))))</f>
        <v/>
      </c>
      <c r="N78">
        <f>IF(K78="","",IF(K78&lt;=100,5,IF(K78&lt;=250,4,IF(K78&lt;=500,3,IF(K78&lt;=1000,2,1)))))</f>
        <v/>
      </c>
      <c r="O78">
        <f>IF(OR(E78="",F78="",M78="",N78=""),"",E78+(6-F78)+M78+N78-IF(L78="Yes",2,0))</f>
        <v/>
      </c>
      <c r="P78" s="34" t="n"/>
      <c r="Q78" s="34" t="n"/>
    </row>
    <row r="79">
      <c r="A79" s="34" t="n"/>
      <c r="B79" s="34" t="n"/>
      <c r="C79" s="34" t="n"/>
      <c r="D79" s="35" t="n"/>
      <c r="E79" s="34" t="n"/>
      <c r="F79" s="34" t="n"/>
      <c r="G79" s="36" t="n"/>
      <c r="H79" s="36" t="n"/>
      <c r="I79" s="36" t="n"/>
      <c r="J79" s="37">
        <f>IF(OR(H79="",I79="",I79=0),"",(I79-H79)/I79)</f>
        <v/>
      </c>
      <c r="K79" s="34" t="n"/>
      <c r="L79" s="34" t="n"/>
      <c r="M79">
        <f>IF(J79="","",IF(J79&gt;=0.66,5,IF(J79&gt;=0.5,4,IF(J79&gt;=0.4,3,IF(J79&gt;=0.25,2,1)))))</f>
        <v/>
      </c>
      <c r="N79">
        <f>IF(K79="","",IF(K79&lt;=100,5,IF(K79&lt;=250,4,IF(K79&lt;=500,3,IF(K79&lt;=1000,2,1)))))</f>
        <v/>
      </c>
      <c r="O79">
        <f>IF(OR(E79="",F79="",M79="",N79=""),"",E79+(6-F79)+M79+N79-IF(L79="Yes",2,0))</f>
        <v/>
      </c>
      <c r="P79" s="34" t="n"/>
      <c r="Q79" s="34" t="n"/>
    </row>
    <row r="80">
      <c r="A80" s="34" t="n"/>
      <c r="B80" s="34" t="n"/>
      <c r="C80" s="34" t="n"/>
      <c r="D80" s="35" t="n"/>
      <c r="E80" s="34" t="n"/>
      <c r="F80" s="34" t="n"/>
      <c r="G80" s="36" t="n"/>
      <c r="H80" s="36" t="n"/>
      <c r="I80" s="36" t="n"/>
      <c r="J80" s="37">
        <f>IF(OR(H80="",I80="",I80=0),"",(I80-H80)/I80)</f>
        <v/>
      </c>
      <c r="K80" s="34" t="n"/>
      <c r="L80" s="34" t="n"/>
      <c r="M80">
        <f>IF(J80="","",IF(J80&gt;=0.66,5,IF(J80&gt;=0.5,4,IF(J80&gt;=0.4,3,IF(J80&gt;=0.25,2,1)))))</f>
        <v/>
      </c>
      <c r="N80">
        <f>IF(K80="","",IF(K80&lt;=100,5,IF(K80&lt;=250,4,IF(K80&lt;=500,3,IF(K80&lt;=1000,2,1)))))</f>
        <v/>
      </c>
      <c r="O80">
        <f>IF(OR(E80="",F80="",M80="",N80=""),"",E80+(6-F80)+M80+N80-IF(L80="Yes",2,0))</f>
        <v/>
      </c>
      <c r="P80" s="34" t="n"/>
      <c r="Q80" s="34" t="n"/>
    </row>
    <row r="81">
      <c r="A81" s="34" t="n"/>
      <c r="B81" s="34" t="n"/>
      <c r="C81" s="34" t="n"/>
      <c r="D81" s="35" t="n"/>
      <c r="E81" s="34" t="n"/>
      <c r="F81" s="34" t="n"/>
      <c r="G81" s="36" t="n"/>
      <c r="H81" s="36" t="n"/>
      <c r="I81" s="36" t="n"/>
      <c r="J81" s="37">
        <f>IF(OR(H81="",I81="",I81=0),"",(I81-H81)/I81)</f>
        <v/>
      </c>
      <c r="K81" s="34" t="n"/>
      <c r="L81" s="34" t="n"/>
      <c r="M81">
        <f>IF(J81="","",IF(J81&gt;=0.66,5,IF(J81&gt;=0.5,4,IF(J81&gt;=0.4,3,IF(J81&gt;=0.25,2,1)))))</f>
        <v/>
      </c>
      <c r="N81">
        <f>IF(K81="","",IF(K81&lt;=100,5,IF(K81&lt;=250,4,IF(K81&lt;=500,3,IF(K81&lt;=1000,2,1)))))</f>
        <v/>
      </c>
      <c r="O81">
        <f>IF(OR(E81="",F81="",M81="",N81=""),"",E81+(6-F81)+M81+N81-IF(L81="Yes",2,0))</f>
        <v/>
      </c>
      <c r="P81" s="34" t="n"/>
      <c r="Q81" s="34" t="n"/>
    </row>
    <row r="82">
      <c r="A82" s="34" t="n"/>
      <c r="B82" s="34" t="n"/>
      <c r="C82" s="34" t="n"/>
      <c r="D82" s="35" t="n"/>
      <c r="E82" s="34" t="n"/>
      <c r="F82" s="34" t="n"/>
      <c r="G82" s="36" t="n"/>
      <c r="H82" s="36" t="n"/>
      <c r="I82" s="36" t="n"/>
      <c r="J82" s="37">
        <f>IF(OR(H82="",I82="",I82=0),"",(I82-H82)/I82)</f>
        <v/>
      </c>
      <c r="K82" s="34" t="n"/>
      <c r="L82" s="34" t="n"/>
      <c r="M82">
        <f>IF(J82="","",IF(J82&gt;=0.66,5,IF(J82&gt;=0.5,4,IF(J82&gt;=0.4,3,IF(J82&gt;=0.25,2,1)))))</f>
        <v/>
      </c>
      <c r="N82">
        <f>IF(K82="","",IF(K82&lt;=100,5,IF(K82&lt;=250,4,IF(K82&lt;=500,3,IF(K82&lt;=1000,2,1)))))</f>
        <v/>
      </c>
      <c r="O82">
        <f>IF(OR(E82="",F82="",M82="",N82=""),"",E82+(6-F82)+M82+N82-IF(L82="Yes",2,0))</f>
        <v/>
      </c>
      <c r="P82" s="34" t="n"/>
      <c r="Q82" s="34" t="n"/>
    </row>
    <row r="83">
      <c r="A83" s="34" t="n"/>
      <c r="B83" s="34" t="n"/>
      <c r="C83" s="34" t="n"/>
      <c r="D83" s="35" t="n"/>
      <c r="E83" s="34" t="n"/>
      <c r="F83" s="34" t="n"/>
      <c r="G83" s="36" t="n"/>
      <c r="H83" s="36" t="n"/>
      <c r="I83" s="36" t="n"/>
      <c r="J83" s="37">
        <f>IF(OR(H83="",I83="",I83=0),"",(I83-H83)/I83)</f>
        <v/>
      </c>
      <c r="K83" s="34" t="n"/>
      <c r="L83" s="34" t="n"/>
      <c r="M83">
        <f>IF(J83="","",IF(J83&gt;=0.66,5,IF(J83&gt;=0.5,4,IF(J83&gt;=0.4,3,IF(J83&gt;=0.25,2,1)))))</f>
        <v/>
      </c>
      <c r="N83">
        <f>IF(K83="","",IF(K83&lt;=100,5,IF(K83&lt;=250,4,IF(K83&lt;=500,3,IF(K83&lt;=1000,2,1)))))</f>
        <v/>
      </c>
      <c r="O83">
        <f>IF(OR(E83="",F83="",M83="",N83=""),"",E83+(6-F83)+M83+N83-IF(L83="Yes",2,0))</f>
        <v/>
      </c>
      <c r="P83" s="34" t="n"/>
      <c r="Q83" s="34" t="n"/>
    </row>
    <row r="84">
      <c r="A84" s="34" t="n"/>
      <c r="B84" s="34" t="n"/>
      <c r="C84" s="34" t="n"/>
      <c r="D84" s="35" t="n"/>
      <c r="E84" s="34" t="n"/>
      <c r="F84" s="34" t="n"/>
      <c r="G84" s="36" t="n"/>
      <c r="H84" s="36" t="n"/>
      <c r="I84" s="36" t="n"/>
      <c r="J84" s="37">
        <f>IF(OR(H84="",I84="",I84=0),"",(I84-H84)/I84)</f>
        <v/>
      </c>
      <c r="K84" s="34" t="n"/>
      <c r="L84" s="34" t="n"/>
      <c r="M84">
        <f>IF(J84="","",IF(J84&gt;=0.66,5,IF(J84&gt;=0.5,4,IF(J84&gt;=0.4,3,IF(J84&gt;=0.25,2,1)))))</f>
        <v/>
      </c>
      <c r="N84">
        <f>IF(K84="","",IF(K84&lt;=100,5,IF(K84&lt;=250,4,IF(K84&lt;=500,3,IF(K84&lt;=1000,2,1)))))</f>
        <v/>
      </c>
      <c r="O84">
        <f>IF(OR(E84="",F84="",M84="",N84=""),"",E84+(6-F84)+M84+N84-IF(L84="Yes",2,0))</f>
        <v/>
      </c>
      <c r="P84" s="34" t="n"/>
      <c r="Q84" s="34" t="n"/>
    </row>
    <row r="85">
      <c r="A85" s="34" t="n"/>
      <c r="B85" s="34" t="n"/>
      <c r="C85" s="34" t="n"/>
      <c r="D85" s="35" t="n"/>
      <c r="E85" s="34" t="n"/>
      <c r="F85" s="34" t="n"/>
      <c r="G85" s="36" t="n"/>
      <c r="H85" s="36" t="n"/>
      <c r="I85" s="36" t="n"/>
      <c r="J85" s="37">
        <f>IF(OR(H85="",I85="",I85=0),"",(I85-H85)/I85)</f>
        <v/>
      </c>
      <c r="K85" s="34" t="n"/>
      <c r="L85" s="34" t="n"/>
      <c r="M85">
        <f>IF(J85="","",IF(J85&gt;=0.66,5,IF(J85&gt;=0.5,4,IF(J85&gt;=0.4,3,IF(J85&gt;=0.25,2,1)))))</f>
        <v/>
      </c>
      <c r="N85">
        <f>IF(K85="","",IF(K85&lt;=100,5,IF(K85&lt;=250,4,IF(K85&lt;=500,3,IF(K85&lt;=1000,2,1)))))</f>
        <v/>
      </c>
      <c r="O85">
        <f>IF(OR(E85="",F85="",M85="",N85=""),"",E85+(6-F85)+M85+N85-IF(L85="Yes",2,0))</f>
        <v/>
      </c>
      <c r="P85" s="34" t="n"/>
      <c r="Q85" s="34" t="n"/>
    </row>
    <row r="86">
      <c r="A86" s="34" t="n"/>
      <c r="B86" s="34" t="n"/>
      <c r="C86" s="34" t="n"/>
      <c r="D86" s="35" t="n"/>
      <c r="E86" s="34" t="n"/>
      <c r="F86" s="34" t="n"/>
      <c r="G86" s="36" t="n"/>
      <c r="H86" s="36" t="n"/>
      <c r="I86" s="36" t="n"/>
      <c r="J86" s="37">
        <f>IF(OR(H86="",I86="",I86=0),"",(I86-H86)/I86)</f>
        <v/>
      </c>
      <c r="K86" s="34" t="n"/>
      <c r="L86" s="34" t="n"/>
      <c r="M86">
        <f>IF(J86="","",IF(J86&gt;=0.66,5,IF(J86&gt;=0.5,4,IF(J86&gt;=0.4,3,IF(J86&gt;=0.25,2,1)))))</f>
        <v/>
      </c>
      <c r="N86">
        <f>IF(K86="","",IF(K86&lt;=100,5,IF(K86&lt;=250,4,IF(K86&lt;=500,3,IF(K86&lt;=1000,2,1)))))</f>
        <v/>
      </c>
      <c r="O86">
        <f>IF(OR(E86="",F86="",M86="",N86=""),"",E86+(6-F86)+M86+N86-IF(L86="Yes",2,0))</f>
        <v/>
      </c>
      <c r="P86" s="34" t="n"/>
      <c r="Q86" s="34" t="n"/>
    </row>
    <row r="87">
      <c r="A87" s="34" t="n"/>
      <c r="B87" s="34" t="n"/>
      <c r="C87" s="34" t="n"/>
      <c r="D87" s="35" t="n"/>
      <c r="E87" s="34" t="n"/>
      <c r="F87" s="34" t="n"/>
      <c r="G87" s="36" t="n"/>
      <c r="H87" s="36" t="n"/>
      <c r="I87" s="36" t="n"/>
      <c r="J87" s="37">
        <f>IF(OR(H87="",I87="",I87=0),"",(I87-H87)/I87)</f>
        <v/>
      </c>
      <c r="K87" s="34" t="n"/>
      <c r="L87" s="34" t="n"/>
      <c r="M87">
        <f>IF(J87="","",IF(J87&gt;=0.66,5,IF(J87&gt;=0.5,4,IF(J87&gt;=0.4,3,IF(J87&gt;=0.25,2,1)))))</f>
        <v/>
      </c>
      <c r="N87">
        <f>IF(K87="","",IF(K87&lt;=100,5,IF(K87&lt;=250,4,IF(K87&lt;=500,3,IF(K87&lt;=1000,2,1)))))</f>
        <v/>
      </c>
      <c r="O87">
        <f>IF(OR(E87="",F87="",M87="",N87=""),"",E87+(6-F87)+M87+N87-IF(L87="Yes",2,0))</f>
        <v/>
      </c>
      <c r="P87" s="34" t="n"/>
      <c r="Q87" s="34" t="n"/>
    </row>
    <row r="88">
      <c r="A88" s="34" t="n"/>
      <c r="B88" s="34" t="n"/>
      <c r="C88" s="34" t="n"/>
      <c r="D88" s="35" t="n"/>
      <c r="E88" s="34" t="n"/>
      <c r="F88" s="34" t="n"/>
      <c r="G88" s="36" t="n"/>
      <c r="H88" s="36" t="n"/>
      <c r="I88" s="36" t="n"/>
      <c r="J88" s="37">
        <f>IF(OR(H88="",I88="",I88=0),"",(I88-H88)/I88)</f>
        <v/>
      </c>
      <c r="K88" s="34" t="n"/>
      <c r="L88" s="34" t="n"/>
      <c r="M88">
        <f>IF(J88="","",IF(J88&gt;=0.66,5,IF(J88&gt;=0.5,4,IF(J88&gt;=0.4,3,IF(J88&gt;=0.25,2,1)))))</f>
        <v/>
      </c>
      <c r="N88">
        <f>IF(K88="","",IF(K88&lt;=100,5,IF(K88&lt;=250,4,IF(K88&lt;=500,3,IF(K88&lt;=1000,2,1)))))</f>
        <v/>
      </c>
      <c r="O88">
        <f>IF(OR(E88="",F88="",M88="",N88=""),"",E88+(6-F88)+M88+N88-IF(L88="Yes",2,0))</f>
        <v/>
      </c>
      <c r="P88" s="34" t="n"/>
      <c r="Q88" s="34" t="n"/>
    </row>
    <row r="89">
      <c r="A89" s="34" t="n"/>
      <c r="B89" s="34" t="n"/>
      <c r="C89" s="34" t="n"/>
      <c r="D89" s="35" t="n"/>
      <c r="E89" s="34" t="n"/>
      <c r="F89" s="34" t="n"/>
      <c r="G89" s="36" t="n"/>
      <c r="H89" s="36" t="n"/>
      <c r="I89" s="36" t="n"/>
      <c r="J89" s="37">
        <f>IF(OR(H89="",I89="",I89=0),"",(I89-H89)/I89)</f>
        <v/>
      </c>
      <c r="K89" s="34" t="n"/>
      <c r="L89" s="34" t="n"/>
      <c r="M89">
        <f>IF(J89="","",IF(J89&gt;=0.66,5,IF(J89&gt;=0.5,4,IF(J89&gt;=0.4,3,IF(J89&gt;=0.25,2,1)))))</f>
        <v/>
      </c>
      <c r="N89">
        <f>IF(K89="","",IF(K89&lt;=100,5,IF(K89&lt;=250,4,IF(K89&lt;=500,3,IF(K89&lt;=1000,2,1)))))</f>
        <v/>
      </c>
      <c r="O89">
        <f>IF(OR(E89="",F89="",M89="",N89=""),"",E89+(6-F89)+M89+N89-IF(L89="Yes",2,0))</f>
        <v/>
      </c>
      <c r="P89" s="34" t="n"/>
      <c r="Q89" s="34" t="n"/>
    </row>
    <row r="90">
      <c r="A90" s="34" t="n"/>
      <c r="B90" s="34" t="n"/>
      <c r="C90" s="34" t="n"/>
      <c r="D90" s="35" t="n"/>
      <c r="E90" s="34" t="n"/>
      <c r="F90" s="34" t="n"/>
      <c r="G90" s="36" t="n"/>
      <c r="H90" s="36" t="n"/>
      <c r="I90" s="36" t="n"/>
      <c r="J90" s="37">
        <f>IF(OR(H90="",I90="",I90=0),"",(I90-H90)/I90)</f>
        <v/>
      </c>
      <c r="K90" s="34" t="n"/>
      <c r="L90" s="34" t="n"/>
      <c r="M90">
        <f>IF(J90="","",IF(J90&gt;=0.66,5,IF(J90&gt;=0.5,4,IF(J90&gt;=0.4,3,IF(J90&gt;=0.25,2,1)))))</f>
        <v/>
      </c>
      <c r="N90">
        <f>IF(K90="","",IF(K90&lt;=100,5,IF(K90&lt;=250,4,IF(K90&lt;=500,3,IF(K90&lt;=1000,2,1)))))</f>
        <v/>
      </c>
      <c r="O90">
        <f>IF(OR(E90="",F90="",M90="",N90=""),"",E90+(6-F90)+M90+N90-IF(L90="Yes",2,0))</f>
        <v/>
      </c>
      <c r="P90" s="34" t="n"/>
      <c r="Q90" s="34" t="n"/>
    </row>
    <row r="91">
      <c r="A91" s="34" t="n"/>
      <c r="B91" s="34" t="n"/>
      <c r="C91" s="34" t="n"/>
      <c r="D91" s="35" t="n"/>
      <c r="E91" s="34" t="n"/>
      <c r="F91" s="34" t="n"/>
      <c r="G91" s="36" t="n"/>
      <c r="H91" s="36" t="n"/>
      <c r="I91" s="36" t="n"/>
      <c r="J91" s="37">
        <f>IF(OR(H91="",I91="",I91=0),"",(I91-H91)/I91)</f>
        <v/>
      </c>
      <c r="K91" s="34" t="n"/>
      <c r="L91" s="34" t="n"/>
      <c r="M91">
        <f>IF(J91="","",IF(J91&gt;=0.66,5,IF(J91&gt;=0.5,4,IF(J91&gt;=0.4,3,IF(J91&gt;=0.25,2,1)))))</f>
        <v/>
      </c>
      <c r="N91">
        <f>IF(K91="","",IF(K91&lt;=100,5,IF(K91&lt;=250,4,IF(K91&lt;=500,3,IF(K91&lt;=1000,2,1)))))</f>
        <v/>
      </c>
      <c r="O91">
        <f>IF(OR(E91="",F91="",M91="",N91=""),"",E91+(6-F91)+M91+N91-IF(L91="Yes",2,0))</f>
        <v/>
      </c>
      <c r="P91" s="34" t="n"/>
      <c r="Q91" s="34" t="n"/>
    </row>
    <row r="92">
      <c r="A92" s="34" t="n"/>
      <c r="B92" s="34" t="n"/>
      <c r="C92" s="34" t="n"/>
      <c r="D92" s="35" t="n"/>
      <c r="E92" s="34" t="n"/>
      <c r="F92" s="34" t="n"/>
      <c r="G92" s="36" t="n"/>
      <c r="H92" s="36" t="n"/>
      <c r="I92" s="36" t="n"/>
      <c r="J92" s="37">
        <f>IF(OR(H92="",I92="",I92=0),"",(I92-H92)/I92)</f>
        <v/>
      </c>
      <c r="K92" s="34" t="n"/>
      <c r="L92" s="34" t="n"/>
      <c r="M92">
        <f>IF(J92="","",IF(J92&gt;=0.66,5,IF(J92&gt;=0.5,4,IF(J92&gt;=0.4,3,IF(J92&gt;=0.25,2,1)))))</f>
        <v/>
      </c>
      <c r="N92">
        <f>IF(K92="","",IF(K92&lt;=100,5,IF(K92&lt;=250,4,IF(K92&lt;=500,3,IF(K92&lt;=1000,2,1)))))</f>
        <v/>
      </c>
      <c r="O92">
        <f>IF(OR(E92="",F92="",M92="",N92=""),"",E92+(6-F92)+M92+N92-IF(L92="Yes",2,0))</f>
        <v/>
      </c>
      <c r="P92" s="34" t="n"/>
      <c r="Q92" s="34" t="n"/>
    </row>
    <row r="93">
      <c r="A93" s="34" t="n"/>
      <c r="B93" s="34" t="n"/>
      <c r="C93" s="34" t="n"/>
      <c r="D93" s="35" t="n"/>
      <c r="E93" s="34" t="n"/>
      <c r="F93" s="34" t="n"/>
      <c r="G93" s="36" t="n"/>
      <c r="H93" s="36" t="n"/>
      <c r="I93" s="36" t="n"/>
      <c r="J93" s="37">
        <f>IF(OR(H93="",I93="",I93=0),"",(I93-H93)/I93)</f>
        <v/>
      </c>
      <c r="K93" s="34" t="n"/>
      <c r="L93" s="34" t="n"/>
      <c r="M93">
        <f>IF(J93="","",IF(J93&gt;=0.66,5,IF(J93&gt;=0.5,4,IF(J93&gt;=0.4,3,IF(J93&gt;=0.25,2,1)))))</f>
        <v/>
      </c>
      <c r="N93">
        <f>IF(K93="","",IF(K93&lt;=100,5,IF(K93&lt;=250,4,IF(K93&lt;=500,3,IF(K93&lt;=1000,2,1)))))</f>
        <v/>
      </c>
      <c r="O93">
        <f>IF(OR(E93="",F93="",M93="",N93=""),"",E93+(6-F93)+M93+N93-IF(L93="Yes",2,0))</f>
        <v/>
      </c>
      <c r="P93" s="34" t="n"/>
      <c r="Q93" s="34" t="n"/>
    </row>
    <row r="94">
      <c r="A94" s="34" t="n"/>
      <c r="B94" s="34" t="n"/>
      <c r="C94" s="34" t="n"/>
      <c r="D94" s="35" t="n"/>
      <c r="E94" s="34" t="n"/>
      <c r="F94" s="34" t="n"/>
      <c r="G94" s="36" t="n"/>
      <c r="H94" s="36" t="n"/>
      <c r="I94" s="36" t="n"/>
      <c r="J94" s="37">
        <f>IF(OR(H94="",I94="",I94=0),"",(I94-H94)/I94)</f>
        <v/>
      </c>
      <c r="K94" s="34" t="n"/>
      <c r="L94" s="34" t="n"/>
      <c r="M94">
        <f>IF(J94="","",IF(J94&gt;=0.66,5,IF(J94&gt;=0.5,4,IF(J94&gt;=0.4,3,IF(J94&gt;=0.25,2,1)))))</f>
        <v/>
      </c>
      <c r="N94">
        <f>IF(K94="","",IF(K94&lt;=100,5,IF(K94&lt;=250,4,IF(K94&lt;=500,3,IF(K94&lt;=1000,2,1)))))</f>
        <v/>
      </c>
      <c r="O94">
        <f>IF(OR(E94="",F94="",M94="",N94=""),"",E94+(6-F94)+M94+N94-IF(L94="Yes",2,0))</f>
        <v/>
      </c>
      <c r="P94" s="34" t="n"/>
      <c r="Q94" s="34" t="n"/>
    </row>
    <row r="95">
      <c r="A95" s="34" t="n"/>
      <c r="B95" s="34" t="n"/>
      <c r="C95" s="34" t="n"/>
      <c r="D95" s="35" t="n"/>
      <c r="E95" s="34" t="n"/>
      <c r="F95" s="34" t="n"/>
      <c r="G95" s="36" t="n"/>
      <c r="H95" s="36" t="n"/>
      <c r="I95" s="36" t="n"/>
      <c r="J95" s="37">
        <f>IF(OR(H95="",I95="",I95=0),"",(I95-H95)/I95)</f>
        <v/>
      </c>
      <c r="K95" s="34" t="n"/>
      <c r="L95" s="34" t="n"/>
      <c r="M95">
        <f>IF(J95="","",IF(J95&gt;=0.66,5,IF(J95&gt;=0.5,4,IF(J95&gt;=0.4,3,IF(J95&gt;=0.25,2,1)))))</f>
        <v/>
      </c>
      <c r="N95">
        <f>IF(K95="","",IF(K95&lt;=100,5,IF(K95&lt;=250,4,IF(K95&lt;=500,3,IF(K95&lt;=1000,2,1)))))</f>
        <v/>
      </c>
      <c r="O95">
        <f>IF(OR(E95="",F95="",M95="",N95=""),"",E95+(6-F95)+M95+N95-IF(L95="Yes",2,0))</f>
        <v/>
      </c>
      <c r="P95" s="34" t="n"/>
      <c r="Q95" s="34" t="n"/>
    </row>
    <row r="96">
      <c r="A96" s="34" t="n"/>
      <c r="B96" s="34" t="n"/>
      <c r="C96" s="34" t="n"/>
      <c r="D96" s="35" t="n"/>
      <c r="E96" s="34" t="n"/>
      <c r="F96" s="34" t="n"/>
      <c r="G96" s="36" t="n"/>
      <c r="H96" s="36" t="n"/>
      <c r="I96" s="36" t="n"/>
      <c r="J96" s="37">
        <f>IF(OR(H96="",I96="",I96=0),"",(I96-H96)/I96)</f>
        <v/>
      </c>
      <c r="K96" s="34" t="n"/>
      <c r="L96" s="34" t="n"/>
      <c r="M96">
        <f>IF(J96="","",IF(J96&gt;=0.66,5,IF(J96&gt;=0.5,4,IF(J96&gt;=0.4,3,IF(J96&gt;=0.25,2,1)))))</f>
        <v/>
      </c>
      <c r="N96">
        <f>IF(K96="","",IF(K96&lt;=100,5,IF(K96&lt;=250,4,IF(K96&lt;=500,3,IF(K96&lt;=1000,2,1)))))</f>
        <v/>
      </c>
      <c r="O96">
        <f>IF(OR(E96="",F96="",M96="",N96=""),"",E96+(6-F96)+M96+N96-IF(L96="Yes",2,0))</f>
        <v/>
      </c>
      <c r="P96" s="34" t="n"/>
      <c r="Q96" s="34" t="n"/>
    </row>
    <row r="97">
      <c r="A97" s="34" t="n"/>
      <c r="B97" s="34" t="n"/>
      <c r="C97" s="34" t="n"/>
      <c r="D97" s="35" t="n"/>
      <c r="E97" s="34" t="n"/>
      <c r="F97" s="34" t="n"/>
      <c r="G97" s="36" t="n"/>
      <c r="H97" s="36" t="n"/>
      <c r="I97" s="36" t="n"/>
      <c r="J97" s="37">
        <f>IF(OR(H97="",I97="",I97=0),"",(I97-H97)/I97)</f>
        <v/>
      </c>
      <c r="K97" s="34" t="n"/>
      <c r="L97" s="34" t="n"/>
      <c r="M97">
        <f>IF(J97="","",IF(J97&gt;=0.66,5,IF(J97&gt;=0.5,4,IF(J97&gt;=0.4,3,IF(J97&gt;=0.25,2,1)))))</f>
        <v/>
      </c>
      <c r="N97">
        <f>IF(K97="","",IF(K97&lt;=100,5,IF(K97&lt;=250,4,IF(K97&lt;=500,3,IF(K97&lt;=1000,2,1)))))</f>
        <v/>
      </c>
      <c r="O97">
        <f>IF(OR(E97="",F97="",M97="",N97=""),"",E97+(6-F97)+M97+N97-IF(L97="Yes",2,0))</f>
        <v/>
      </c>
      <c r="P97" s="34" t="n"/>
      <c r="Q97" s="34" t="n"/>
    </row>
    <row r="98">
      <c r="A98" s="34" t="n"/>
      <c r="B98" s="34" t="n"/>
      <c r="C98" s="34" t="n"/>
      <c r="D98" s="35" t="n"/>
      <c r="E98" s="34" t="n"/>
      <c r="F98" s="34" t="n"/>
      <c r="G98" s="36" t="n"/>
      <c r="H98" s="36" t="n"/>
      <c r="I98" s="36" t="n"/>
      <c r="J98" s="37">
        <f>IF(OR(H98="",I98="",I98=0),"",(I98-H98)/I98)</f>
        <v/>
      </c>
      <c r="K98" s="34" t="n"/>
      <c r="L98" s="34" t="n"/>
      <c r="M98">
        <f>IF(J98="","",IF(J98&gt;=0.66,5,IF(J98&gt;=0.5,4,IF(J98&gt;=0.4,3,IF(J98&gt;=0.25,2,1)))))</f>
        <v/>
      </c>
      <c r="N98">
        <f>IF(K98="","",IF(K98&lt;=100,5,IF(K98&lt;=250,4,IF(K98&lt;=500,3,IF(K98&lt;=1000,2,1)))))</f>
        <v/>
      </c>
      <c r="O98">
        <f>IF(OR(E98="",F98="",M98="",N98=""),"",E98+(6-F98)+M98+N98-IF(L98="Yes",2,0))</f>
        <v/>
      </c>
      <c r="P98" s="34" t="n"/>
      <c r="Q98" s="34" t="n"/>
    </row>
    <row r="99">
      <c r="A99" s="34" t="n"/>
      <c r="B99" s="34" t="n"/>
      <c r="C99" s="34" t="n"/>
      <c r="D99" s="35" t="n"/>
      <c r="E99" s="34" t="n"/>
      <c r="F99" s="34" t="n"/>
      <c r="G99" s="36" t="n"/>
      <c r="H99" s="36" t="n"/>
      <c r="I99" s="36" t="n"/>
      <c r="J99" s="37">
        <f>IF(OR(H99="",I99="",I99=0),"",(I99-H99)/I99)</f>
        <v/>
      </c>
      <c r="K99" s="34" t="n"/>
      <c r="L99" s="34" t="n"/>
      <c r="M99">
        <f>IF(J99="","",IF(J99&gt;=0.66,5,IF(J99&gt;=0.5,4,IF(J99&gt;=0.4,3,IF(J99&gt;=0.25,2,1)))))</f>
        <v/>
      </c>
      <c r="N99">
        <f>IF(K99="","",IF(K99&lt;=100,5,IF(K99&lt;=250,4,IF(K99&lt;=500,3,IF(K99&lt;=1000,2,1)))))</f>
        <v/>
      </c>
      <c r="O99">
        <f>IF(OR(E99="",F99="",M99="",N99=""),"",E99+(6-F99)+M99+N99-IF(L99="Yes",2,0))</f>
        <v/>
      </c>
      <c r="P99" s="34" t="n"/>
      <c r="Q99" s="34" t="n"/>
    </row>
    <row r="100">
      <c r="A100" s="34" t="n"/>
      <c r="B100" s="34" t="n"/>
      <c r="C100" s="34" t="n"/>
      <c r="D100" s="35" t="n"/>
      <c r="E100" s="34" t="n"/>
      <c r="F100" s="34" t="n"/>
      <c r="G100" s="36" t="n"/>
      <c r="H100" s="36" t="n"/>
      <c r="I100" s="36" t="n"/>
      <c r="J100" s="37">
        <f>IF(OR(H100="",I100="",I100=0),"",(I100-H100)/I100)</f>
        <v/>
      </c>
      <c r="K100" s="34" t="n"/>
      <c r="L100" s="34" t="n"/>
      <c r="M100">
        <f>IF(J100="","",IF(J100&gt;=0.66,5,IF(J100&gt;=0.5,4,IF(J100&gt;=0.4,3,IF(J100&gt;=0.25,2,1)))))</f>
        <v/>
      </c>
      <c r="N100">
        <f>IF(K100="","",IF(K100&lt;=100,5,IF(K100&lt;=250,4,IF(K100&lt;=500,3,IF(K100&lt;=1000,2,1)))))</f>
        <v/>
      </c>
      <c r="O100">
        <f>IF(OR(E100="",F100="",M100="",N100=""),"",E100+(6-F100)+M100+N100-IF(L100="Yes",2,0))</f>
        <v/>
      </c>
      <c r="P100" s="34" t="n"/>
      <c r="Q100" s="34" t="n"/>
    </row>
    <row r="101">
      <c r="A101" s="34" t="n"/>
      <c r="B101" s="34" t="n"/>
      <c r="C101" s="34" t="n"/>
      <c r="D101" s="35" t="n"/>
      <c r="E101" s="34" t="n"/>
      <c r="F101" s="34" t="n"/>
      <c r="G101" s="36" t="n"/>
      <c r="H101" s="36" t="n"/>
      <c r="I101" s="36" t="n"/>
      <c r="J101" s="37">
        <f>IF(OR(H101="",I101="",I101=0),"",(I101-H101)/I101)</f>
        <v/>
      </c>
      <c r="K101" s="34" t="n"/>
      <c r="L101" s="34" t="n"/>
      <c r="M101">
        <f>IF(J101="","",IF(J101&gt;=0.66,5,IF(J101&gt;=0.5,4,IF(J101&gt;=0.4,3,IF(J101&gt;=0.25,2,1)))))</f>
        <v/>
      </c>
      <c r="N101">
        <f>IF(K101="","",IF(K101&lt;=100,5,IF(K101&lt;=250,4,IF(K101&lt;=500,3,IF(K101&lt;=1000,2,1)))))</f>
        <v/>
      </c>
      <c r="O101">
        <f>IF(OR(E101="",F101="",M101="",N101=""),"",E101+(6-F101)+M101+N101-IF(L101="Yes",2,0))</f>
        <v/>
      </c>
      <c r="P101" s="34" t="n"/>
      <c r="Q101" s="34" t="n"/>
    </row>
    <row r="102">
      <c r="A102" s="34" t="n"/>
      <c r="B102" s="34" t="n"/>
      <c r="C102" s="34" t="n"/>
      <c r="D102" s="35" t="n"/>
      <c r="E102" s="34" t="n"/>
      <c r="F102" s="34" t="n"/>
      <c r="G102" s="36" t="n"/>
      <c r="H102" s="36" t="n"/>
      <c r="I102" s="36" t="n"/>
      <c r="J102" s="37">
        <f>IF(OR(H102="",I102="",I102=0),"",(I102-H102)/I102)</f>
        <v/>
      </c>
      <c r="K102" s="34" t="n"/>
      <c r="L102" s="34" t="n"/>
      <c r="M102">
        <f>IF(J102="","",IF(J102&gt;=0.66,5,IF(J102&gt;=0.5,4,IF(J102&gt;=0.4,3,IF(J102&gt;=0.25,2,1)))))</f>
        <v/>
      </c>
      <c r="N102">
        <f>IF(K102="","",IF(K102&lt;=100,5,IF(K102&lt;=250,4,IF(K102&lt;=500,3,IF(K102&lt;=1000,2,1)))))</f>
        <v/>
      </c>
      <c r="O102">
        <f>IF(OR(E102="",F102="",M102="",N102=""),"",E102+(6-F102)+M102+N102-IF(L102="Yes",2,0))</f>
        <v/>
      </c>
      <c r="P102" s="34" t="n"/>
      <c r="Q102" s="34" t="n"/>
    </row>
    <row r="103">
      <c r="A103" s="34" t="n"/>
      <c r="B103" s="34" t="n"/>
      <c r="C103" s="34" t="n"/>
      <c r="D103" s="35" t="n"/>
      <c r="E103" s="34" t="n"/>
      <c r="F103" s="34" t="n"/>
      <c r="G103" s="36" t="n"/>
      <c r="H103" s="36" t="n"/>
      <c r="I103" s="36" t="n"/>
      <c r="J103" s="37">
        <f>IF(OR(H103="",I103="",I103=0),"",(I103-H103)/I103)</f>
        <v/>
      </c>
      <c r="K103" s="34" t="n"/>
      <c r="L103" s="34" t="n"/>
      <c r="M103">
        <f>IF(J103="","",IF(J103&gt;=0.66,5,IF(J103&gt;=0.5,4,IF(J103&gt;=0.4,3,IF(J103&gt;=0.25,2,1)))))</f>
        <v/>
      </c>
      <c r="N103">
        <f>IF(K103="","",IF(K103&lt;=100,5,IF(K103&lt;=250,4,IF(K103&lt;=500,3,IF(K103&lt;=1000,2,1)))))</f>
        <v/>
      </c>
      <c r="O103">
        <f>IF(OR(E103="",F103="",M103="",N103=""),"",E103+(6-F103)+M103+N103-IF(L103="Yes",2,0))</f>
        <v/>
      </c>
      <c r="P103" s="34" t="n"/>
      <c r="Q103" s="34" t="n"/>
    </row>
    <row r="104">
      <c r="A104" s="34" t="n"/>
      <c r="B104" s="34" t="n"/>
      <c r="C104" s="34" t="n"/>
      <c r="D104" s="35" t="n"/>
      <c r="E104" s="34" t="n"/>
      <c r="F104" s="34" t="n"/>
      <c r="G104" s="36" t="n"/>
      <c r="H104" s="36" t="n"/>
      <c r="I104" s="36" t="n"/>
      <c r="J104" s="37">
        <f>IF(OR(H104="",I104="",I104=0),"",(I104-H104)/I104)</f>
        <v/>
      </c>
      <c r="K104" s="34" t="n"/>
      <c r="L104" s="34" t="n"/>
      <c r="M104">
        <f>IF(J104="","",IF(J104&gt;=0.66,5,IF(J104&gt;=0.5,4,IF(J104&gt;=0.4,3,IF(J104&gt;=0.25,2,1)))))</f>
        <v/>
      </c>
      <c r="N104">
        <f>IF(K104="","",IF(K104&lt;=100,5,IF(K104&lt;=250,4,IF(K104&lt;=500,3,IF(K104&lt;=1000,2,1)))))</f>
        <v/>
      </c>
      <c r="O104">
        <f>IF(OR(E104="",F104="",M104="",N104=""),"",E104+(6-F104)+M104+N104-IF(L104="Yes",2,0))</f>
        <v/>
      </c>
      <c r="P104" s="34" t="n"/>
      <c r="Q104" s="34" t="n"/>
    </row>
    <row r="105">
      <c r="A105" s="34" t="n"/>
      <c r="B105" s="34" t="n"/>
      <c r="C105" s="34" t="n"/>
      <c r="D105" s="35" t="n"/>
      <c r="E105" s="34" t="n"/>
      <c r="F105" s="34" t="n"/>
      <c r="G105" s="36" t="n"/>
      <c r="H105" s="36" t="n"/>
      <c r="I105" s="36" t="n"/>
      <c r="J105" s="37">
        <f>IF(OR(H105="",I105="",I105=0),"",(I105-H105)/I105)</f>
        <v/>
      </c>
      <c r="K105" s="34" t="n"/>
      <c r="L105" s="34" t="n"/>
      <c r="M105">
        <f>IF(J105="","",IF(J105&gt;=0.66,5,IF(J105&gt;=0.5,4,IF(J105&gt;=0.4,3,IF(J105&gt;=0.25,2,1)))))</f>
        <v/>
      </c>
      <c r="N105">
        <f>IF(K105="","",IF(K105&lt;=100,5,IF(K105&lt;=250,4,IF(K105&lt;=500,3,IF(K105&lt;=1000,2,1)))))</f>
        <v/>
      </c>
      <c r="O105">
        <f>IF(OR(E105="",F105="",M105="",N105=""),"",E105+(6-F105)+M105+N105-IF(L105="Yes",2,0))</f>
        <v/>
      </c>
      <c r="P105" s="34" t="n"/>
      <c r="Q105" s="34" t="n"/>
    </row>
    <row r="106">
      <c r="A106" s="34" t="n"/>
      <c r="B106" s="34" t="n"/>
      <c r="C106" s="34" t="n"/>
      <c r="D106" s="35" t="n"/>
      <c r="E106" s="34" t="n"/>
      <c r="F106" s="34" t="n"/>
      <c r="G106" s="36" t="n"/>
      <c r="H106" s="36" t="n"/>
      <c r="I106" s="36" t="n"/>
      <c r="J106" s="37">
        <f>IF(OR(H106="",I106="",I106=0),"",(I106-H106)/I106)</f>
        <v/>
      </c>
      <c r="K106" s="34" t="n"/>
      <c r="L106" s="34" t="n"/>
      <c r="M106">
        <f>IF(J106="","",IF(J106&gt;=0.66,5,IF(J106&gt;=0.5,4,IF(J106&gt;=0.4,3,IF(J106&gt;=0.25,2,1)))))</f>
        <v/>
      </c>
      <c r="N106">
        <f>IF(K106="","",IF(K106&lt;=100,5,IF(K106&lt;=250,4,IF(K106&lt;=500,3,IF(K106&lt;=1000,2,1)))))</f>
        <v/>
      </c>
      <c r="O106">
        <f>IF(OR(E106="",F106="",M106="",N106=""),"",E106+(6-F106)+M106+N106-IF(L106="Yes",2,0))</f>
        <v/>
      </c>
      <c r="P106" s="34" t="n"/>
      <c r="Q106" s="34" t="n"/>
    </row>
    <row r="107">
      <c r="A107" s="34" t="n"/>
      <c r="B107" s="34" t="n"/>
      <c r="C107" s="34" t="n"/>
      <c r="D107" s="35" t="n"/>
      <c r="E107" s="34" t="n"/>
      <c r="F107" s="34" t="n"/>
      <c r="G107" s="36" t="n"/>
      <c r="H107" s="36" t="n"/>
      <c r="I107" s="36" t="n"/>
      <c r="J107" s="37">
        <f>IF(OR(H107="",I107="",I107=0),"",(I107-H107)/I107)</f>
        <v/>
      </c>
      <c r="K107" s="34" t="n"/>
      <c r="L107" s="34" t="n"/>
      <c r="M107">
        <f>IF(J107="","",IF(J107&gt;=0.66,5,IF(J107&gt;=0.5,4,IF(J107&gt;=0.4,3,IF(J107&gt;=0.25,2,1)))))</f>
        <v/>
      </c>
      <c r="N107">
        <f>IF(K107="","",IF(K107&lt;=100,5,IF(K107&lt;=250,4,IF(K107&lt;=500,3,IF(K107&lt;=1000,2,1)))))</f>
        <v/>
      </c>
      <c r="O107">
        <f>IF(OR(E107="",F107="",M107="",N107=""),"",E107+(6-F107)+M107+N107-IF(L107="Yes",2,0))</f>
        <v/>
      </c>
      <c r="P107" s="34" t="n"/>
      <c r="Q107" s="34" t="n"/>
    </row>
    <row r="108">
      <c r="A108" s="34" t="n"/>
      <c r="B108" s="34" t="n"/>
      <c r="C108" s="34" t="n"/>
      <c r="D108" s="35" t="n"/>
      <c r="E108" s="34" t="n"/>
      <c r="F108" s="34" t="n"/>
      <c r="G108" s="36" t="n"/>
      <c r="H108" s="36" t="n"/>
      <c r="I108" s="36" t="n"/>
      <c r="J108" s="37">
        <f>IF(OR(H108="",I108="",I108=0),"",(I108-H108)/I108)</f>
        <v/>
      </c>
      <c r="K108" s="34" t="n"/>
      <c r="L108" s="34" t="n"/>
      <c r="M108">
        <f>IF(J108="","",IF(J108&gt;=0.66,5,IF(J108&gt;=0.5,4,IF(J108&gt;=0.4,3,IF(J108&gt;=0.25,2,1)))))</f>
        <v/>
      </c>
      <c r="N108">
        <f>IF(K108="","",IF(K108&lt;=100,5,IF(K108&lt;=250,4,IF(K108&lt;=500,3,IF(K108&lt;=1000,2,1)))))</f>
        <v/>
      </c>
      <c r="O108">
        <f>IF(OR(E108="",F108="",M108="",N108=""),"",E108+(6-F108)+M108+N108-IF(L108="Yes",2,0))</f>
        <v/>
      </c>
      <c r="P108" s="34" t="n"/>
      <c r="Q108" s="34" t="n"/>
    </row>
    <row r="109">
      <c r="A109" s="34" t="n"/>
      <c r="B109" s="34" t="n"/>
      <c r="C109" s="34" t="n"/>
      <c r="D109" s="35" t="n"/>
      <c r="E109" s="34" t="n"/>
      <c r="F109" s="34" t="n"/>
      <c r="G109" s="36" t="n"/>
      <c r="H109" s="36" t="n"/>
      <c r="I109" s="36" t="n"/>
      <c r="J109" s="37">
        <f>IF(OR(H109="",I109="",I109=0),"",(I109-H109)/I109)</f>
        <v/>
      </c>
      <c r="K109" s="34" t="n"/>
      <c r="L109" s="34" t="n"/>
      <c r="M109">
        <f>IF(J109="","",IF(J109&gt;=0.66,5,IF(J109&gt;=0.5,4,IF(J109&gt;=0.4,3,IF(J109&gt;=0.25,2,1)))))</f>
        <v/>
      </c>
      <c r="N109">
        <f>IF(K109="","",IF(K109&lt;=100,5,IF(K109&lt;=250,4,IF(K109&lt;=500,3,IF(K109&lt;=1000,2,1)))))</f>
        <v/>
      </c>
      <c r="O109">
        <f>IF(OR(E109="",F109="",M109="",N109=""),"",E109+(6-F109)+M109+N109-IF(L109="Yes",2,0))</f>
        <v/>
      </c>
      <c r="P109" s="34" t="n"/>
      <c r="Q109" s="34" t="n"/>
    </row>
    <row r="110">
      <c r="A110" s="34" t="n"/>
      <c r="B110" s="34" t="n"/>
      <c r="C110" s="34" t="n"/>
      <c r="D110" s="35" t="n"/>
      <c r="E110" s="34" t="n"/>
      <c r="F110" s="34" t="n"/>
      <c r="G110" s="36" t="n"/>
      <c r="H110" s="36" t="n"/>
      <c r="I110" s="36" t="n"/>
      <c r="J110" s="37">
        <f>IF(OR(H110="",I110="",I110=0),"",(I110-H110)/I110)</f>
        <v/>
      </c>
      <c r="K110" s="34" t="n"/>
      <c r="L110" s="34" t="n"/>
      <c r="M110">
        <f>IF(J110="","",IF(J110&gt;=0.66,5,IF(J110&gt;=0.5,4,IF(J110&gt;=0.4,3,IF(J110&gt;=0.25,2,1)))))</f>
        <v/>
      </c>
      <c r="N110">
        <f>IF(K110="","",IF(K110&lt;=100,5,IF(K110&lt;=250,4,IF(K110&lt;=500,3,IF(K110&lt;=1000,2,1)))))</f>
        <v/>
      </c>
      <c r="O110">
        <f>IF(OR(E110="",F110="",M110="",N110=""),"",E110+(6-F110)+M110+N110-IF(L110="Yes",2,0))</f>
        <v/>
      </c>
      <c r="P110" s="34" t="n"/>
      <c r="Q110" s="34" t="n"/>
    </row>
    <row r="111">
      <c r="A111" s="34" t="n"/>
      <c r="B111" s="34" t="n"/>
      <c r="C111" s="34" t="n"/>
      <c r="D111" s="35" t="n"/>
      <c r="E111" s="34" t="n"/>
      <c r="F111" s="34" t="n"/>
      <c r="G111" s="36" t="n"/>
      <c r="H111" s="36" t="n"/>
      <c r="I111" s="36" t="n"/>
      <c r="J111" s="37">
        <f>IF(OR(H111="",I111="",I111=0),"",(I111-H111)/I111)</f>
        <v/>
      </c>
      <c r="K111" s="34" t="n"/>
      <c r="L111" s="34" t="n"/>
      <c r="M111">
        <f>IF(J111="","",IF(J111&gt;=0.66,5,IF(J111&gt;=0.5,4,IF(J111&gt;=0.4,3,IF(J111&gt;=0.25,2,1)))))</f>
        <v/>
      </c>
      <c r="N111">
        <f>IF(K111="","",IF(K111&lt;=100,5,IF(K111&lt;=250,4,IF(K111&lt;=500,3,IF(K111&lt;=1000,2,1)))))</f>
        <v/>
      </c>
      <c r="O111">
        <f>IF(OR(E111="",F111="",M111="",N111=""),"",E111+(6-F111)+M111+N111-IF(L111="Yes",2,0))</f>
        <v/>
      </c>
      <c r="P111" s="34" t="n"/>
      <c r="Q111" s="34" t="n"/>
    </row>
    <row r="112">
      <c r="A112" s="34" t="n"/>
      <c r="B112" s="34" t="n"/>
      <c r="C112" s="34" t="n"/>
      <c r="D112" s="35" t="n"/>
      <c r="E112" s="34" t="n"/>
      <c r="F112" s="34" t="n"/>
      <c r="G112" s="36" t="n"/>
      <c r="H112" s="36" t="n"/>
      <c r="I112" s="36" t="n"/>
      <c r="J112" s="37">
        <f>IF(OR(H112="",I112="",I112=0),"",(I112-H112)/I112)</f>
        <v/>
      </c>
      <c r="K112" s="34" t="n"/>
      <c r="L112" s="34" t="n"/>
      <c r="M112">
        <f>IF(J112="","",IF(J112&gt;=0.66,5,IF(J112&gt;=0.5,4,IF(J112&gt;=0.4,3,IF(J112&gt;=0.25,2,1)))))</f>
        <v/>
      </c>
      <c r="N112">
        <f>IF(K112="","",IF(K112&lt;=100,5,IF(K112&lt;=250,4,IF(K112&lt;=500,3,IF(K112&lt;=1000,2,1)))))</f>
        <v/>
      </c>
      <c r="O112">
        <f>IF(OR(E112="",F112="",M112="",N112=""),"",E112+(6-F112)+M112+N112-IF(L112="Yes",2,0))</f>
        <v/>
      </c>
      <c r="P112" s="34" t="n"/>
      <c r="Q112" s="34" t="n"/>
    </row>
    <row r="113">
      <c r="A113" s="34" t="n"/>
      <c r="B113" s="34" t="n"/>
      <c r="C113" s="34" t="n"/>
      <c r="D113" s="35" t="n"/>
      <c r="E113" s="34" t="n"/>
      <c r="F113" s="34" t="n"/>
      <c r="G113" s="36" t="n"/>
      <c r="H113" s="36" t="n"/>
      <c r="I113" s="36" t="n"/>
      <c r="J113" s="37">
        <f>IF(OR(H113="",I113="",I113=0),"",(I113-H113)/I113)</f>
        <v/>
      </c>
      <c r="K113" s="34" t="n"/>
      <c r="L113" s="34" t="n"/>
      <c r="M113">
        <f>IF(J113="","",IF(J113&gt;=0.66,5,IF(J113&gt;=0.5,4,IF(J113&gt;=0.4,3,IF(J113&gt;=0.25,2,1)))))</f>
        <v/>
      </c>
      <c r="N113">
        <f>IF(K113="","",IF(K113&lt;=100,5,IF(K113&lt;=250,4,IF(K113&lt;=500,3,IF(K113&lt;=1000,2,1)))))</f>
        <v/>
      </c>
      <c r="O113">
        <f>IF(OR(E113="",F113="",M113="",N113=""),"",E113+(6-F113)+M113+N113-IF(L113="Yes",2,0))</f>
        <v/>
      </c>
      <c r="P113" s="34" t="n"/>
      <c r="Q113" s="34" t="n"/>
    </row>
    <row r="114">
      <c r="A114" s="34" t="n"/>
      <c r="B114" s="34" t="n"/>
      <c r="C114" s="34" t="n"/>
      <c r="D114" s="35" t="n"/>
      <c r="E114" s="34" t="n"/>
      <c r="F114" s="34" t="n"/>
      <c r="G114" s="36" t="n"/>
      <c r="H114" s="36" t="n"/>
      <c r="I114" s="36" t="n"/>
      <c r="J114" s="37">
        <f>IF(OR(H114="",I114="",I114=0),"",(I114-H114)/I114)</f>
        <v/>
      </c>
      <c r="K114" s="34" t="n"/>
      <c r="L114" s="34" t="n"/>
      <c r="M114">
        <f>IF(J114="","",IF(J114&gt;=0.66,5,IF(J114&gt;=0.5,4,IF(J114&gt;=0.4,3,IF(J114&gt;=0.25,2,1)))))</f>
        <v/>
      </c>
      <c r="N114">
        <f>IF(K114="","",IF(K114&lt;=100,5,IF(K114&lt;=250,4,IF(K114&lt;=500,3,IF(K114&lt;=1000,2,1)))))</f>
        <v/>
      </c>
      <c r="O114">
        <f>IF(OR(E114="",F114="",M114="",N114=""),"",E114+(6-F114)+M114+N114-IF(L114="Yes",2,0))</f>
        <v/>
      </c>
      <c r="P114" s="34" t="n"/>
      <c r="Q114" s="34" t="n"/>
    </row>
    <row r="115">
      <c r="A115" s="34" t="n"/>
      <c r="B115" s="34" t="n"/>
      <c r="C115" s="34" t="n"/>
      <c r="D115" s="35" t="n"/>
      <c r="E115" s="34" t="n"/>
      <c r="F115" s="34" t="n"/>
      <c r="G115" s="36" t="n"/>
      <c r="H115" s="36" t="n"/>
      <c r="I115" s="36" t="n"/>
      <c r="J115" s="37">
        <f>IF(OR(H115="",I115="",I115=0),"",(I115-H115)/I115)</f>
        <v/>
      </c>
      <c r="K115" s="34" t="n"/>
      <c r="L115" s="34" t="n"/>
      <c r="M115">
        <f>IF(J115="","",IF(J115&gt;=0.66,5,IF(J115&gt;=0.5,4,IF(J115&gt;=0.4,3,IF(J115&gt;=0.25,2,1)))))</f>
        <v/>
      </c>
      <c r="N115">
        <f>IF(K115="","",IF(K115&lt;=100,5,IF(K115&lt;=250,4,IF(K115&lt;=500,3,IF(K115&lt;=1000,2,1)))))</f>
        <v/>
      </c>
      <c r="O115">
        <f>IF(OR(E115="",F115="",M115="",N115=""),"",E115+(6-F115)+M115+N115-IF(L115="Yes",2,0))</f>
        <v/>
      </c>
      <c r="P115" s="34" t="n"/>
      <c r="Q115" s="34" t="n"/>
    </row>
    <row r="116">
      <c r="A116" s="34" t="n"/>
      <c r="B116" s="34" t="n"/>
      <c r="C116" s="34" t="n"/>
      <c r="D116" s="35" t="n"/>
      <c r="E116" s="34" t="n"/>
      <c r="F116" s="34" t="n"/>
      <c r="G116" s="36" t="n"/>
      <c r="H116" s="36" t="n"/>
      <c r="I116" s="36" t="n"/>
      <c r="J116" s="37">
        <f>IF(OR(H116="",I116="",I116=0),"",(I116-H116)/I116)</f>
        <v/>
      </c>
      <c r="K116" s="34" t="n"/>
      <c r="L116" s="34" t="n"/>
      <c r="M116">
        <f>IF(J116="","",IF(J116&gt;=0.66,5,IF(J116&gt;=0.5,4,IF(J116&gt;=0.4,3,IF(J116&gt;=0.25,2,1)))))</f>
        <v/>
      </c>
      <c r="N116">
        <f>IF(K116="","",IF(K116&lt;=100,5,IF(K116&lt;=250,4,IF(K116&lt;=500,3,IF(K116&lt;=1000,2,1)))))</f>
        <v/>
      </c>
      <c r="O116">
        <f>IF(OR(E116="",F116="",M116="",N116=""),"",E116+(6-F116)+M116+N116-IF(L116="Yes",2,0))</f>
        <v/>
      </c>
      <c r="P116" s="34" t="n"/>
      <c r="Q116" s="34" t="n"/>
    </row>
    <row r="117">
      <c r="A117" s="34" t="n"/>
      <c r="B117" s="34" t="n"/>
      <c r="C117" s="34" t="n"/>
      <c r="D117" s="35" t="n"/>
      <c r="E117" s="34" t="n"/>
      <c r="F117" s="34" t="n"/>
      <c r="G117" s="36" t="n"/>
      <c r="H117" s="36" t="n"/>
      <c r="I117" s="36" t="n"/>
      <c r="J117" s="37">
        <f>IF(OR(H117="",I117="",I117=0),"",(I117-H117)/I117)</f>
        <v/>
      </c>
      <c r="K117" s="34" t="n"/>
      <c r="L117" s="34" t="n"/>
      <c r="M117">
        <f>IF(J117="","",IF(J117&gt;=0.66,5,IF(J117&gt;=0.5,4,IF(J117&gt;=0.4,3,IF(J117&gt;=0.25,2,1)))))</f>
        <v/>
      </c>
      <c r="N117">
        <f>IF(K117="","",IF(K117&lt;=100,5,IF(K117&lt;=250,4,IF(K117&lt;=500,3,IF(K117&lt;=1000,2,1)))))</f>
        <v/>
      </c>
      <c r="O117">
        <f>IF(OR(E117="",F117="",M117="",N117=""),"",E117+(6-F117)+M117+N117-IF(L117="Yes",2,0))</f>
        <v/>
      </c>
      <c r="P117" s="34" t="n"/>
      <c r="Q117" s="34" t="n"/>
    </row>
    <row r="118">
      <c r="A118" s="34" t="n"/>
      <c r="B118" s="34" t="n"/>
      <c r="C118" s="34" t="n"/>
      <c r="D118" s="35" t="n"/>
      <c r="E118" s="34" t="n"/>
      <c r="F118" s="34" t="n"/>
      <c r="G118" s="36" t="n"/>
      <c r="H118" s="36" t="n"/>
      <c r="I118" s="36" t="n"/>
      <c r="J118" s="37">
        <f>IF(OR(H118="",I118="",I118=0),"",(I118-H118)/I118)</f>
        <v/>
      </c>
      <c r="K118" s="34" t="n"/>
      <c r="L118" s="34" t="n"/>
      <c r="M118">
        <f>IF(J118="","",IF(J118&gt;=0.66,5,IF(J118&gt;=0.5,4,IF(J118&gt;=0.4,3,IF(J118&gt;=0.25,2,1)))))</f>
        <v/>
      </c>
      <c r="N118">
        <f>IF(K118="","",IF(K118&lt;=100,5,IF(K118&lt;=250,4,IF(K118&lt;=500,3,IF(K118&lt;=1000,2,1)))))</f>
        <v/>
      </c>
      <c r="O118">
        <f>IF(OR(E118="",F118="",M118="",N118=""),"",E118+(6-F118)+M118+N118-IF(L118="Yes",2,0))</f>
        <v/>
      </c>
      <c r="P118" s="34" t="n"/>
      <c r="Q118" s="34" t="n"/>
    </row>
    <row r="119">
      <c r="A119" s="34" t="n"/>
      <c r="B119" s="34" t="n"/>
      <c r="C119" s="34" t="n"/>
      <c r="D119" s="35" t="n"/>
      <c r="E119" s="34" t="n"/>
      <c r="F119" s="34" t="n"/>
      <c r="G119" s="36" t="n"/>
      <c r="H119" s="36" t="n"/>
      <c r="I119" s="36" t="n"/>
      <c r="J119" s="37">
        <f>IF(OR(H119="",I119="",I119=0),"",(I119-H119)/I119)</f>
        <v/>
      </c>
      <c r="K119" s="34" t="n"/>
      <c r="L119" s="34" t="n"/>
      <c r="M119">
        <f>IF(J119="","",IF(J119&gt;=0.66,5,IF(J119&gt;=0.5,4,IF(J119&gt;=0.4,3,IF(J119&gt;=0.25,2,1)))))</f>
        <v/>
      </c>
      <c r="N119">
        <f>IF(K119="","",IF(K119&lt;=100,5,IF(K119&lt;=250,4,IF(K119&lt;=500,3,IF(K119&lt;=1000,2,1)))))</f>
        <v/>
      </c>
      <c r="O119">
        <f>IF(OR(E119="",F119="",M119="",N119=""),"",E119+(6-F119)+M119+N119-IF(L119="Yes",2,0))</f>
        <v/>
      </c>
      <c r="P119" s="34" t="n"/>
      <c r="Q119" s="34" t="n"/>
    </row>
    <row r="120">
      <c r="A120" s="34" t="n"/>
      <c r="B120" s="34" t="n"/>
      <c r="C120" s="34" t="n"/>
      <c r="D120" s="35" t="n"/>
      <c r="E120" s="34" t="n"/>
      <c r="F120" s="34" t="n"/>
      <c r="G120" s="36" t="n"/>
      <c r="H120" s="36" t="n"/>
      <c r="I120" s="36" t="n"/>
      <c r="J120" s="37">
        <f>IF(OR(H120="",I120="",I120=0),"",(I120-H120)/I120)</f>
        <v/>
      </c>
      <c r="K120" s="34" t="n"/>
      <c r="L120" s="34" t="n"/>
      <c r="M120">
        <f>IF(J120="","",IF(J120&gt;=0.66,5,IF(J120&gt;=0.5,4,IF(J120&gt;=0.4,3,IF(J120&gt;=0.25,2,1)))))</f>
        <v/>
      </c>
      <c r="N120">
        <f>IF(K120="","",IF(K120&lt;=100,5,IF(K120&lt;=250,4,IF(K120&lt;=500,3,IF(K120&lt;=1000,2,1)))))</f>
        <v/>
      </c>
      <c r="O120">
        <f>IF(OR(E120="",F120="",M120="",N120=""),"",E120+(6-F120)+M120+N120-IF(L120="Yes",2,0))</f>
        <v/>
      </c>
      <c r="P120" s="34" t="n"/>
      <c r="Q120" s="34" t="n"/>
    </row>
    <row r="121">
      <c r="A121" s="34" t="n"/>
      <c r="B121" s="34" t="n"/>
      <c r="C121" s="34" t="n"/>
      <c r="D121" s="35" t="n"/>
      <c r="E121" s="34" t="n"/>
      <c r="F121" s="34" t="n"/>
      <c r="G121" s="36" t="n"/>
      <c r="H121" s="36" t="n"/>
      <c r="I121" s="36" t="n"/>
      <c r="J121" s="37">
        <f>IF(OR(H121="",I121="",I121=0),"",(I121-H121)/I121)</f>
        <v/>
      </c>
      <c r="K121" s="34" t="n"/>
      <c r="L121" s="34" t="n"/>
      <c r="M121">
        <f>IF(J121="","",IF(J121&gt;=0.66,5,IF(J121&gt;=0.5,4,IF(J121&gt;=0.4,3,IF(J121&gt;=0.25,2,1)))))</f>
        <v/>
      </c>
      <c r="N121">
        <f>IF(K121="","",IF(K121&lt;=100,5,IF(K121&lt;=250,4,IF(K121&lt;=500,3,IF(K121&lt;=1000,2,1)))))</f>
        <v/>
      </c>
      <c r="O121">
        <f>IF(OR(E121="",F121="",M121="",N121=""),"",E121+(6-F121)+M121+N121-IF(L121="Yes",2,0))</f>
        <v/>
      </c>
      <c r="P121" s="34" t="n"/>
      <c r="Q121" s="34" t="n"/>
    </row>
    <row r="122">
      <c r="A122" s="34" t="n"/>
      <c r="B122" s="34" t="n"/>
      <c r="C122" s="34" t="n"/>
      <c r="D122" s="35" t="n"/>
      <c r="E122" s="34" t="n"/>
      <c r="F122" s="34" t="n"/>
      <c r="G122" s="36" t="n"/>
      <c r="H122" s="36" t="n"/>
      <c r="I122" s="36" t="n"/>
      <c r="J122" s="37">
        <f>IF(OR(H122="",I122="",I122=0),"",(I122-H122)/I122)</f>
        <v/>
      </c>
      <c r="K122" s="34" t="n"/>
      <c r="L122" s="34" t="n"/>
      <c r="M122">
        <f>IF(J122="","",IF(J122&gt;=0.66,5,IF(J122&gt;=0.5,4,IF(J122&gt;=0.4,3,IF(J122&gt;=0.25,2,1)))))</f>
        <v/>
      </c>
      <c r="N122">
        <f>IF(K122="","",IF(K122&lt;=100,5,IF(K122&lt;=250,4,IF(K122&lt;=500,3,IF(K122&lt;=1000,2,1)))))</f>
        <v/>
      </c>
      <c r="O122">
        <f>IF(OR(E122="",F122="",M122="",N122=""),"",E122+(6-F122)+M122+N122-IF(L122="Yes",2,0))</f>
        <v/>
      </c>
      <c r="P122" s="34" t="n"/>
      <c r="Q122" s="34" t="n"/>
    </row>
    <row r="123">
      <c r="A123" s="34" t="n"/>
      <c r="B123" s="34" t="n"/>
      <c r="C123" s="34" t="n"/>
      <c r="D123" s="35" t="n"/>
      <c r="E123" s="34" t="n"/>
      <c r="F123" s="34" t="n"/>
      <c r="G123" s="36" t="n"/>
      <c r="H123" s="36" t="n"/>
      <c r="I123" s="36" t="n"/>
      <c r="J123" s="37">
        <f>IF(OR(H123="",I123="",I123=0),"",(I123-H123)/I123)</f>
        <v/>
      </c>
      <c r="K123" s="34" t="n"/>
      <c r="L123" s="34" t="n"/>
      <c r="M123">
        <f>IF(J123="","",IF(J123&gt;=0.66,5,IF(J123&gt;=0.5,4,IF(J123&gt;=0.4,3,IF(J123&gt;=0.25,2,1)))))</f>
        <v/>
      </c>
      <c r="N123">
        <f>IF(K123="","",IF(K123&lt;=100,5,IF(K123&lt;=250,4,IF(K123&lt;=500,3,IF(K123&lt;=1000,2,1)))))</f>
        <v/>
      </c>
      <c r="O123">
        <f>IF(OR(E123="",F123="",M123="",N123=""),"",E123+(6-F123)+M123+N123-IF(L123="Yes",2,0))</f>
        <v/>
      </c>
      <c r="P123" s="34" t="n"/>
      <c r="Q123" s="34" t="n"/>
    </row>
    <row r="124">
      <c r="A124" s="34" t="n"/>
      <c r="B124" s="34" t="n"/>
      <c r="C124" s="34" t="n"/>
      <c r="D124" s="35" t="n"/>
      <c r="E124" s="34" t="n"/>
      <c r="F124" s="34" t="n"/>
      <c r="G124" s="36" t="n"/>
      <c r="H124" s="36" t="n"/>
      <c r="I124" s="36" t="n"/>
      <c r="J124" s="37">
        <f>IF(OR(H124="",I124="",I124=0),"",(I124-H124)/I124)</f>
        <v/>
      </c>
      <c r="K124" s="34" t="n"/>
      <c r="L124" s="34" t="n"/>
      <c r="M124">
        <f>IF(J124="","",IF(J124&gt;=0.66,5,IF(J124&gt;=0.5,4,IF(J124&gt;=0.4,3,IF(J124&gt;=0.25,2,1)))))</f>
        <v/>
      </c>
      <c r="N124">
        <f>IF(K124="","",IF(K124&lt;=100,5,IF(K124&lt;=250,4,IF(K124&lt;=500,3,IF(K124&lt;=1000,2,1)))))</f>
        <v/>
      </c>
      <c r="O124">
        <f>IF(OR(E124="",F124="",M124="",N124=""),"",E124+(6-F124)+M124+N124-IF(L124="Yes",2,0))</f>
        <v/>
      </c>
      <c r="P124" s="34" t="n"/>
      <c r="Q124" s="34" t="n"/>
    </row>
    <row r="125">
      <c r="A125" s="34" t="n"/>
      <c r="B125" s="34" t="n"/>
      <c r="C125" s="34" t="n"/>
      <c r="D125" s="35" t="n"/>
      <c r="E125" s="34" t="n"/>
      <c r="F125" s="34" t="n"/>
      <c r="G125" s="36" t="n"/>
      <c r="H125" s="36" t="n"/>
      <c r="I125" s="36" t="n"/>
      <c r="J125" s="37">
        <f>IF(OR(H125="",I125="",I125=0),"",(I125-H125)/I125)</f>
        <v/>
      </c>
      <c r="K125" s="34" t="n"/>
      <c r="L125" s="34" t="n"/>
      <c r="M125">
        <f>IF(J125="","",IF(J125&gt;=0.66,5,IF(J125&gt;=0.5,4,IF(J125&gt;=0.4,3,IF(J125&gt;=0.25,2,1)))))</f>
        <v/>
      </c>
      <c r="N125">
        <f>IF(K125="","",IF(K125&lt;=100,5,IF(K125&lt;=250,4,IF(K125&lt;=500,3,IF(K125&lt;=1000,2,1)))))</f>
        <v/>
      </c>
      <c r="O125">
        <f>IF(OR(E125="",F125="",M125="",N125=""),"",E125+(6-F125)+M125+N125-IF(L125="Yes",2,0))</f>
        <v/>
      </c>
      <c r="P125" s="34" t="n"/>
      <c r="Q125" s="34" t="n"/>
    </row>
    <row r="126">
      <c r="A126" s="34" t="n"/>
      <c r="B126" s="34" t="n"/>
      <c r="C126" s="34" t="n"/>
      <c r="D126" s="35" t="n"/>
      <c r="E126" s="34" t="n"/>
      <c r="F126" s="34" t="n"/>
      <c r="G126" s="36" t="n"/>
      <c r="H126" s="36" t="n"/>
      <c r="I126" s="36" t="n"/>
      <c r="J126" s="37">
        <f>IF(OR(H126="",I126="",I126=0),"",(I126-H126)/I126)</f>
        <v/>
      </c>
      <c r="K126" s="34" t="n"/>
      <c r="L126" s="34" t="n"/>
      <c r="M126">
        <f>IF(J126="","",IF(J126&gt;=0.66,5,IF(J126&gt;=0.5,4,IF(J126&gt;=0.4,3,IF(J126&gt;=0.25,2,1)))))</f>
        <v/>
      </c>
      <c r="N126">
        <f>IF(K126="","",IF(K126&lt;=100,5,IF(K126&lt;=250,4,IF(K126&lt;=500,3,IF(K126&lt;=1000,2,1)))))</f>
        <v/>
      </c>
      <c r="O126">
        <f>IF(OR(E126="",F126="",M126="",N126=""),"",E126+(6-F126)+M126+N126-IF(L126="Yes",2,0))</f>
        <v/>
      </c>
      <c r="P126" s="34" t="n"/>
      <c r="Q126" s="34" t="n"/>
    </row>
    <row r="127">
      <c r="A127" s="34" t="n"/>
      <c r="B127" s="34" t="n"/>
      <c r="C127" s="34" t="n"/>
      <c r="D127" s="35" t="n"/>
      <c r="E127" s="34" t="n"/>
      <c r="F127" s="34" t="n"/>
      <c r="G127" s="36" t="n"/>
      <c r="H127" s="36" t="n"/>
      <c r="I127" s="36" t="n"/>
      <c r="J127" s="37">
        <f>IF(OR(H127="",I127="",I127=0),"",(I127-H127)/I127)</f>
        <v/>
      </c>
      <c r="K127" s="34" t="n"/>
      <c r="L127" s="34" t="n"/>
      <c r="M127">
        <f>IF(J127="","",IF(J127&gt;=0.66,5,IF(J127&gt;=0.5,4,IF(J127&gt;=0.4,3,IF(J127&gt;=0.25,2,1)))))</f>
        <v/>
      </c>
      <c r="N127">
        <f>IF(K127="","",IF(K127&lt;=100,5,IF(K127&lt;=250,4,IF(K127&lt;=500,3,IF(K127&lt;=1000,2,1)))))</f>
        <v/>
      </c>
      <c r="O127">
        <f>IF(OR(E127="",F127="",M127="",N127=""),"",E127+(6-F127)+M127+N127-IF(L127="Yes",2,0))</f>
        <v/>
      </c>
      <c r="P127" s="34" t="n"/>
      <c r="Q127" s="34" t="n"/>
    </row>
    <row r="128">
      <c r="A128" s="34" t="n"/>
      <c r="B128" s="34" t="n"/>
      <c r="C128" s="34" t="n"/>
      <c r="D128" s="35" t="n"/>
      <c r="E128" s="34" t="n"/>
      <c r="F128" s="34" t="n"/>
      <c r="G128" s="36" t="n"/>
      <c r="H128" s="36" t="n"/>
      <c r="I128" s="36" t="n"/>
      <c r="J128" s="37">
        <f>IF(OR(H128="",I128="",I128=0),"",(I128-H128)/I128)</f>
        <v/>
      </c>
      <c r="K128" s="34" t="n"/>
      <c r="L128" s="34" t="n"/>
      <c r="M128">
        <f>IF(J128="","",IF(J128&gt;=0.66,5,IF(J128&gt;=0.5,4,IF(J128&gt;=0.4,3,IF(J128&gt;=0.25,2,1)))))</f>
        <v/>
      </c>
      <c r="N128">
        <f>IF(K128="","",IF(K128&lt;=100,5,IF(K128&lt;=250,4,IF(K128&lt;=500,3,IF(K128&lt;=1000,2,1)))))</f>
        <v/>
      </c>
      <c r="O128">
        <f>IF(OR(E128="",F128="",M128="",N128=""),"",E128+(6-F128)+M128+N128-IF(L128="Yes",2,0))</f>
        <v/>
      </c>
      <c r="P128" s="34" t="n"/>
      <c r="Q128" s="34" t="n"/>
    </row>
    <row r="129">
      <c r="A129" s="34" t="n"/>
      <c r="B129" s="34" t="n"/>
      <c r="C129" s="34" t="n"/>
      <c r="D129" s="35" t="n"/>
      <c r="E129" s="34" t="n"/>
      <c r="F129" s="34" t="n"/>
      <c r="G129" s="36" t="n"/>
      <c r="H129" s="36" t="n"/>
      <c r="I129" s="36" t="n"/>
      <c r="J129" s="37">
        <f>IF(OR(H129="",I129="",I129=0),"",(I129-H129)/I129)</f>
        <v/>
      </c>
      <c r="K129" s="34" t="n"/>
      <c r="L129" s="34" t="n"/>
      <c r="M129">
        <f>IF(J129="","",IF(J129&gt;=0.66,5,IF(J129&gt;=0.5,4,IF(J129&gt;=0.4,3,IF(J129&gt;=0.25,2,1)))))</f>
        <v/>
      </c>
      <c r="N129">
        <f>IF(K129="","",IF(K129&lt;=100,5,IF(K129&lt;=250,4,IF(K129&lt;=500,3,IF(K129&lt;=1000,2,1)))))</f>
        <v/>
      </c>
      <c r="O129">
        <f>IF(OR(E129="",F129="",M129="",N129=""),"",E129+(6-F129)+M129+N129-IF(L129="Yes",2,0))</f>
        <v/>
      </c>
      <c r="P129" s="34" t="n"/>
      <c r="Q129" s="34" t="n"/>
    </row>
    <row r="130">
      <c r="A130" s="34" t="n"/>
      <c r="B130" s="34" t="n"/>
      <c r="C130" s="34" t="n"/>
      <c r="D130" s="35" t="n"/>
      <c r="E130" s="34" t="n"/>
      <c r="F130" s="34" t="n"/>
      <c r="G130" s="36" t="n"/>
      <c r="H130" s="36" t="n"/>
      <c r="I130" s="36" t="n"/>
      <c r="J130" s="37">
        <f>IF(OR(H130="",I130="",I130=0),"",(I130-H130)/I130)</f>
        <v/>
      </c>
      <c r="K130" s="34" t="n"/>
      <c r="L130" s="34" t="n"/>
      <c r="M130">
        <f>IF(J130="","",IF(J130&gt;=0.66,5,IF(J130&gt;=0.5,4,IF(J130&gt;=0.4,3,IF(J130&gt;=0.25,2,1)))))</f>
        <v/>
      </c>
      <c r="N130">
        <f>IF(K130="","",IF(K130&lt;=100,5,IF(K130&lt;=250,4,IF(K130&lt;=500,3,IF(K130&lt;=1000,2,1)))))</f>
        <v/>
      </c>
      <c r="O130">
        <f>IF(OR(E130="",F130="",M130="",N130=""),"",E130+(6-F130)+M130+N130-IF(L130="Yes",2,0))</f>
        <v/>
      </c>
      <c r="P130" s="34" t="n"/>
      <c r="Q130" s="34" t="n"/>
    </row>
    <row r="131">
      <c r="A131" s="34" t="n"/>
      <c r="B131" s="34" t="n"/>
      <c r="C131" s="34" t="n"/>
      <c r="D131" s="35" t="n"/>
      <c r="E131" s="34" t="n"/>
      <c r="F131" s="34" t="n"/>
      <c r="G131" s="36" t="n"/>
      <c r="H131" s="36" t="n"/>
      <c r="I131" s="36" t="n"/>
      <c r="J131" s="37">
        <f>IF(OR(H131="",I131="",I131=0),"",(I131-H131)/I131)</f>
        <v/>
      </c>
      <c r="K131" s="34" t="n"/>
      <c r="L131" s="34" t="n"/>
      <c r="M131">
        <f>IF(J131="","",IF(J131&gt;=0.66,5,IF(J131&gt;=0.5,4,IF(J131&gt;=0.4,3,IF(J131&gt;=0.25,2,1)))))</f>
        <v/>
      </c>
      <c r="N131">
        <f>IF(K131="","",IF(K131&lt;=100,5,IF(K131&lt;=250,4,IF(K131&lt;=500,3,IF(K131&lt;=1000,2,1)))))</f>
        <v/>
      </c>
      <c r="O131">
        <f>IF(OR(E131="",F131="",M131="",N131=""),"",E131+(6-F131)+M131+N131-IF(L131="Yes",2,0))</f>
        <v/>
      </c>
      <c r="P131" s="34" t="n"/>
      <c r="Q131" s="34" t="n"/>
    </row>
    <row r="132">
      <c r="A132" s="34" t="n"/>
      <c r="B132" s="34" t="n"/>
      <c r="C132" s="34" t="n"/>
      <c r="D132" s="35" t="n"/>
      <c r="E132" s="34" t="n"/>
      <c r="F132" s="34" t="n"/>
      <c r="G132" s="36" t="n"/>
      <c r="H132" s="36" t="n"/>
      <c r="I132" s="36" t="n"/>
      <c r="J132" s="37">
        <f>IF(OR(H132="",I132="",I132=0),"",(I132-H132)/I132)</f>
        <v/>
      </c>
      <c r="K132" s="34" t="n"/>
      <c r="L132" s="34" t="n"/>
      <c r="M132">
        <f>IF(J132="","",IF(J132&gt;=0.66,5,IF(J132&gt;=0.5,4,IF(J132&gt;=0.4,3,IF(J132&gt;=0.25,2,1)))))</f>
        <v/>
      </c>
      <c r="N132">
        <f>IF(K132="","",IF(K132&lt;=100,5,IF(K132&lt;=250,4,IF(K132&lt;=500,3,IF(K132&lt;=1000,2,1)))))</f>
        <v/>
      </c>
      <c r="O132">
        <f>IF(OR(E132="",F132="",M132="",N132=""),"",E132+(6-F132)+M132+N132-IF(L132="Yes",2,0))</f>
        <v/>
      </c>
      <c r="P132" s="34" t="n"/>
      <c r="Q132" s="34" t="n"/>
    </row>
    <row r="133">
      <c r="A133" s="34" t="n"/>
      <c r="B133" s="34" t="n"/>
      <c r="C133" s="34" t="n"/>
      <c r="D133" s="35" t="n"/>
      <c r="E133" s="34" t="n"/>
      <c r="F133" s="34" t="n"/>
      <c r="G133" s="36" t="n"/>
      <c r="H133" s="36" t="n"/>
      <c r="I133" s="36" t="n"/>
      <c r="J133" s="37">
        <f>IF(OR(H133="",I133="",I133=0),"",(I133-H133)/I133)</f>
        <v/>
      </c>
      <c r="K133" s="34" t="n"/>
      <c r="L133" s="34" t="n"/>
      <c r="M133">
        <f>IF(J133="","",IF(J133&gt;=0.66,5,IF(J133&gt;=0.5,4,IF(J133&gt;=0.4,3,IF(J133&gt;=0.25,2,1)))))</f>
        <v/>
      </c>
      <c r="N133">
        <f>IF(K133="","",IF(K133&lt;=100,5,IF(K133&lt;=250,4,IF(K133&lt;=500,3,IF(K133&lt;=1000,2,1)))))</f>
        <v/>
      </c>
      <c r="O133">
        <f>IF(OR(E133="",F133="",M133="",N133=""),"",E133+(6-F133)+M133+N133-IF(L133="Yes",2,0))</f>
        <v/>
      </c>
      <c r="P133" s="34" t="n"/>
      <c r="Q133" s="34" t="n"/>
    </row>
    <row r="134">
      <c r="A134" s="34" t="n"/>
      <c r="B134" s="34" t="n"/>
      <c r="C134" s="34" t="n"/>
      <c r="D134" s="35" t="n"/>
      <c r="E134" s="34" t="n"/>
      <c r="F134" s="34" t="n"/>
      <c r="G134" s="36" t="n"/>
      <c r="H134" s="36" t="n"/>
      <c r="I134" s="36" t="n"/>
      <c r="J134" s="37">
        <f>IF(OR(H134="",I134="",I134=0),"",(I134-H134)/I134)</f>
        <v/>
      </c>
      <c r="K134" s="34" t="n"/>
      <c r="L134" s="34" t="n"/>
      <c r="M134">
        <f>IF(J134="","",IF(J134&gt;=0.66,5,IF(J134&gt;=0.5,4,IF(J134&gt;=0.4,3,IF(J134&gt;=0.25,2,1)))))</f>
        <v/>
      </c>
      <c r="N134">
        <f>IF(K134="","",IF(K134&lt;=100,5,IF(K134&lt;=250,4,IF(K134&lt;=500,3,IF(K134&lt;=1000,2,1)))))</f>
        <v/>
      </c>
      <c r="O134">
        <f>IF(OR(E134="",F134="",M134="",N134=""),"",E134+(6-F134)+M134+N134-IF(L134="Yes",2,0))</f>
        <v/>
      </c>
      <c r="P134" s="34" t="n"/>
      <c r="Q134" s="34" t="n"/>
    </row>
    <row r="135">
      <c r="A135" s="34" t="n"/>
      <c r="B135" s="34" t="n"/>
      <c r="C135" s="34" t="n"/>
      <c r="D135" s="35" t="n"/>
      <c r="E135" s="34" t="n"/>
      <c r="F135" s="34" t="n"/>
      <c r="G135" s="36" t="n"/>
      <c r="H135" s="36" t="n"/>
      <c r="I135" s="36" t="n"/>
      <c r="J135" s="37">
        <f>IF(OR(H135="",I135="",I135=0),"",(I135-H135)/I135)</f>
        <v/>
      </c>
      <c r="K135" s="34" t="n"/>
      <c r="L135" s="34" t="n"/>
      <c r="M135">
        <f>IF(J135="","",IF(J135&gt;=0.66,5,IF(J135&gt;=0.5,4,IF(J135&gt;=0.4,3,IF(J135&gt;=0.25,2,1)))))</f>
        <v/>
      </c>
      <c r="N135">
        <f>IF(K135="","",IF(K135&lt;=100,5,IF(K135&lt;=250,4,IF(K135&lt;=500,3,IF(K135&lt;=1000,2,1)))))</f>
        <v/>
      </c>
      <c r="O135">
        <f>IF(OR(E135="",F135="",M135="",N135=""),"",E135+(6-F135)+M135+N135-IF(L135="Yes",2,0))</f>
        <v/>
      </c>
      <c r="P135" s="34" t="n"/>
      <c r="Q135" s="34" t="n"/>
    </row>
    <row r="136">
      <c r="A136" s="34" t="n"/>
      <c r="B136" s="34" t="n"/>
      <c r="C136" s="34" t="n"/>
      <c r="D136" s="35" t="n"/>
      <c r="E136" s="34" t="n"/>
      <c r="F136" s="34" t="n"/>
      <c r="G136" s="36" t="n"/>
      <c r="H136" s="36" t="n"/>
      <c r="I136" s="36" t="n"/>
      <c r="J136" s="37">
        <f>IF(OR(H136="",I136="",I136=0),"",(I136-H136)/I136)</f>
        <v/>
      </c>
      <c r="K136" s="34" t="n"/>
      <c r="L136" s="34" t="n"/>
      <c r="M136">
        <f>IF(J136="","",IF(J136&gt;=0.66,5,IF(J136&gt;=0.5,4,IF(J136&gt;=0.4,3,IF(J136&gt;=0.25,2,1)))))</f>
        <v/>
      </c>
      <c r="N136">
        <f>IF(K136="","",IF(K136&lt;=100,5,IF(K136&lt;=250,4,IF(K136&lt;=500,3,IF(K136&lt;=1000,2,1)))))</f>
        <v/>
      </c>
      <c r="O136">
        <f>IF(OR(E136="",F136="",M136="",N136=""),"",E136+(6-F136)+M136+N136-IF(L136="Yes",2,0))</f>
        <v/>
      </c>
      <c r="P136" s="34" t="n"/>
      <c r="Q136" s="34" t="n"/>
    </row>
    <row r="137">
      <c r="A137" s="34" t="n"/>
      <c r="B137" s="34" t="n"/>
      <c r="C137" s="34" t="n"/>
      <c r="D137" s="35" t="n"/>
      <c r="E137" s="34" t="n"/>
      <c r="F137" s="34" t="n"/>
      <c r="G137" s="36" t="n"/>
      <c r="H137" s="36" t="n"/>
      <c r="I137" s="36" t="n"/>
      <c r="J137" s="37">
        <f>IF(OR(H137="",I137="",I137=0),"",(I137-H137)/I137)</f>
        <v/>
      </c>
      <c r="K137" s="34" t="n"/>
      <c r="L137" s="34" t="n"/>
      <c r="M137">
        <f>IF(J137="","",IF(J137&gt;=0.66,5,IF(J137&gt;=0.5,4,IF(J137&gt;=0.4,3,IF(J137&gt;=0.25,2,1)))))</f>
        <v/>
      </c>
      <c r="N137">
        <f>IF(K137="","",IF(K137&lt;=100,5,IF(K137&lt;=250,4,IF(K137&lt;=500,3,IF(K137&lt;=1000,2,1)))))</f>
        <v/>
      </c>
      <c r="O137">
        <f>IF(OR(E137="",F137="",M137="",N137=""),"",E137+(6-F137)+M137+N137-IF(L137="Yes",2,0))</f>
        <v/>
      </c>
      <c r="P137" s="34" t="n"/>
      <c r="Q137" s="34" t="n"/>
    </row>
    <row r="138">
      <c r="A138" s="34" t="n"/>
      <c r="B138" s="34" t="n"/>
      <c r="C138" s="34" t="n"/>
      <c r="D138" s="35" t="n"/>
      <c r="E138" s="34" t="n"/>
      <c r="F138" s="34" t="n"/>
      <c r="G138" s="36" t="n"/>
      <c r="H138" s="36" t="n"/>
      <c r="I138" s="36" t="n"/>
      <c r="J138" s="37">
        <f>IF(OR(H138="",I138="",I138=0),"",(I138-H138)/I138)</f>
        <v/>
      </c>
      <c r="K138" s="34" t="n"/>
      <c r="L138" s="34" t="n"/>
      <c r="M138">
        <f>IF(J138="","",IF(J138&gt;=0.66,5,IF(J138&gt;=0.5,4,IF(J138&gt;=0.4,3,IF(J138&gt;=0.25,2,1)))))</f>
        <v/>
      </c>
      <c r="N138">
        <f>IF(K138="","",IF(K138&lt;=100,5,IF(K138&lt;=250,4,IF(K138&lt;=500,3,IF(K138&lt;=1000,2,1)))))</f>
        <v/>
      </c>
      <c r="O138">
        <f>IF(OR(E138="",F138="",M138="",N138=""),"",E138+(6-F138)+M138+N138-IF(L138="Yes",2,0))</f>
        <v/>
      </c>
      <c r="P138" s="34" t="n"/>
      <c r="Q138" s="34" t="n"/>
    </row>
    <row r="139">
      <c r="A139" s="34" t="n"/>
      <c r="B139" s="34" t="n"/>
      <c r="C139" s="34" t="n"/>
      <c r="D139" s="35" t="n"/>
      <c r="E139" s="34" t="n"/>
      <c r="F139" s="34" t="n"/>
      <c r="G139" s="36" t="n"/>
      <c r="H139" s="36" t="n"/>
      <c r="I139" s="36" t="n"/>
      <c r="J139" s="37">
        <f>IF(OR(H139="",I139="",I139=0),"",(I139-H139)/I139)</f>
        <v/>
      </c>
      <c r="K139" s="34" t="n"/>
      <c r="L139" s="34" t="n"/>
      <c r="M139">
        <f>IF(J139="","",IF(J139&gt;=0.66,5,IF(J139&gt;=0.5,4,IF(J139&gt;=0.4,3,IF(J139&gt;=0.25,2,1)))))</f>
        <v/>
      </c>
      <c r="N139">
        <f>IF(K139="","",IF(K139&lt;=100,5,IF(K139&lt;=250,4,IF(K139&lt;=500,3,IF(K139&lt;=1000,2,1)))))</f>
        <v/>
      </c>
      <c r="O139">
        <f>IF(OR(E139="",F139="",M139="",N139=""),"",E139+(6-F139)+M139+N139-IF(L139="Yes",2,0))</f>
        <v/>
      </c>
      <c r="P139" s="34" t="n"/>
      <c r="Q139" s="34" t="n"/>
    </row>
    <row r="140">
      <c r="A140" s="34" t="n"/>
      <c r="B140" s="34" t="n"/>
      <c r="C140" s="34" t="n"/>
      <c r="D140" s="35" t="n"/>
      <c r="E140" s="34" t="n"/>
      <c r="F140" s="34" t="n"/>
      <c r="G140" s="36" t="n"/>
      <c r="H140" s="36" t="n"/>
      <c r="I140" s="36" t="n"/>
      <c r="J140" s="37">
        <f>IF(OR(H140="",I140="",I140=0),"",(I140-H140)/I140)</f>
        <v/>
      </c>
      <c r="K140" s="34" t="n"/>
      <c r="L140" s="34" t="n"/>
      <c r="M140">
        <f>IF(J140="","",IF(J140&gt;=0.66,5,IF(J140&gt;=0.5,4,IF(J140&gt;=0.4,3,IF(J140&gt;=0.25,2,1)))))</f>
        <v/>
      </c>
      <c r="N140">
        <f>IF(K140="","",IF(K140&lt;=100,5,IF(K140&lt;=250,4,IF(K140&lt;=500,3,IF(K140&lt;=1000,2,1)))))</f>
        <v/>
      </c>
      <c r="O140">
        <f>IF(OR(E140="",F140="",M140="",N140=""),"",E140+(6-F140)+M140+N140-IF(L140="Yes",2,0))</f>
        <v/>
      </c>
      <c r="P140" s="34" t="n"/>
      <c r="Q140" s="34" t="n"/>
    </row>
    <row r="141">
      <c r="A141" s="34" t="n"/>
      <c r="B141" s="34" t="n"/>
      <c r="C141" s="34" t="n"/>
      <c r="D141" s="35" t="n"/>
      <c r="E141" s="34" t="n"/>
      <c r="F141" s="34" t="n"/>
      <c r="G141" s="36" t="n"/>
      <c r="H141" s="36" t="n"/>
      <c r="I141" s="36" t="n"/>
      <c r="J141" s="37">
        <f>IF(OR(H141="",I141="",I141=0),"",(I141-H141)/I141)</f>
        <v/>
      </c>
      <c r="K141" s="34" t="n"/>
      <c r="L141" s="34" t="n"/>
      <c r="M141">
        <f>IF(J141="","",IF(J141&gt;=0.66,5,IF(J141&gt;=0.5,4,IF(J141&gt;=0.4,3,IF(J141&gt;=0.25,2,1)))))</f>
        <v/>
      </c>
      <c r="N141">
        <f>IF(K141="","",IF(K141&lt;=100,5,IF(K141&lt;=250,4,IF(K141&lt;=500,3,IF(K141&lt;=1000,2,1)))))</f>
        <v/>
      </c>
      <c r="O141">
        <f>IF(OR(E141="",F141="",M141="",N141=""),"",E141+(6-F141)+M141+N141-IF(L141="Yes",2,0))</f>
        <v/>
      </c>
      <c r="P141" s="34" t="n"/>
      <c r="Q141" s="34" t="n"/>
    </row>
    <row r="142">
      <c r="A142" s="34" t="n"/>
      <c r="B142" s="34" t="n"/>
      <c r="C142" s="34" t="n"/>
      <c r="D142" s="35" t="n"/>
      <c r="E142" s="34" t="n"/>
      <c r="F142" s="34" t="n"/>
      <c r="G142" s="36" t="n"/>
      <c r="H142" s="36" t="n"/>
      <c r="I142" s="36" t="n"/>
      <c r="J142" s="37">
        <f>IF(OR(H142="",I142="",I142=0),"",(I142-H142)/I142)</f>
        <v/>
      </c>
      <c r="K142" s="34" t="n"/>
      <c r="L142" s="34" t="n"/>
      <c r="M142">
        <f>IF(J142="","",IF(J142&gt;=0.66,5,IF(J142&gt;=0.5,4,IF(J142&gt;=0.4,3,IF(J142&gt;=0.25,2,1)))))</f>
        <v/>
      </c>
      <c r="N142">
        <f>IF(K142="","",IF(K142&lt;=100,5,IF(K142&lt;=250,4,IF(K142&lt;=500,3,IF(K142&lt;=1000,2,1)))))</f>
        <v/>
      </c>
      <c r="O142">
        <f>IF(OR(E142="",F142="",M142="",N142=""),"",E142+(6-F142)+M142+N142-IF(L142="Yes",2,0))</f>
        <v/>
      </c>
      <c r="P142" s="34" t="n"/>
      <c r="Q142" s="34" t="n"/>
    </row>
    <row r="143">
      <c r="A143" s="34" t="n"/>
      <c r="B143" s="34" t="n"/>
      <c r="C143" s="34" t="n"/>
      <c r="D143" s="35" t="n"/>
      <c r="E143" s="34" t="n"/>
      <c r="F143" s="34" t="n"/>
      <c r="G143" s="36" t="n"/>
      <c r="H143" s="36" t="n"/>
      <c r="I143" s="36" t="n"/>
      <c r="J143" s="37">
        <f>IF(OR(H143="",I143="",I143=0),"",(I143-H143)/I143)</f>
        <v/>
      </c>
      <c r="K143" s="34" t="n"/>
      <c r="L143" s="34" t="n"/>
      <c r="M143">
        <f>IF(J143="","",IF(J143&gt;=0.66,5,IF(J143&gt;=0.5,4,IF(J143&gt;=0.4,3,IF(J143&gt;=0.25,2,1)))))</f>
        <v/>
      </c>
      <c r="N143">
        <f>IF(K143="","",IF(K143&lt;=100,5,IF(K143&lt;=250,4,IF(K143&lt;=500,3,IF(K143&lt;=1000,2,1)))))</f>
        <v/>
      </c>
      <c r="O143">
        <f>IF(OR(E143="",F143="",M143="",N143=""),"",E143+(6-F143)+M143+N143-IF(L143="Yes",2,0))</f>
        <v/>
      </c>
      <c r="P143" s="34" t="n"/>
      <c r="Q143" s="34" t="n"/>
    </row>
    <row r="144">
      <c r="A144" s="34" t="n"/>
      <c r="B144" s="34" t="n"/>
      <c r="C144" s="34" t="n"/>
      <c r="D144" s="35" t="n"/>
      <c r="E144" s="34" t="n"/>
      <c r="F144" s="34" t="n"/>
      <c r="G144" s="36" t="n"/>
      <c r="H144" s="36" t="n"/>
      <c r="I144" s="36" t="n"/>
      <c r="J144" s="37">
        <f>IF(OR(H144="",I144="",I144=0),"",(I144-H144)/I144)</f>
        <v/>
      </c>
      <c r="K144" s="34" t="n"/>
      <c r="L144" s="34" t="n"/>
      <c r="M144">
        <f>IF(J144="","",IF(J144&gt;=0.66,5,IF(J144&gt;=0.5,4,IF(J144&gt;=0.4,3,IF(J144&gt;=0.25,2,1)))))</f>
        <v/>
      </c>
      <c r="N144">
        <f>IF(K144="","",IF(K144&lt;=100,5,IF(K144&lt;=250,4,IF(K144&lt;=500,3,IF(K144&lt;=1000,2,1)))))</f>
        <v/>
      </c>
      <c r="O144">
        <f>IF(OR(E144="",F144="",M144="",N144=""),"",E144+(6-F144)+M144+N144-IF(L144="Yes",2,0))</f>
        <v/>
      </c>
      <c r="P144" s="34" t="n"/>
      <c r="Q144" s="34" t="n"/>
    </row>
    <row r="145">
      <c r="A145" s="34" t="n"/>
      <c r="B145" s="34" t="n"/>
      <c r="C145" s="34" t="n"/>
      <c r="D145" s="35" t="n"/>
      <c r="E145" s="34" t="n"/>
      <c r="F145" s="34" t="n"/>
      <c r="G145" s="36" t="n"/>
      <c r="H145" s="36" t="n"/>
      <c r="I145" s="36" t="n"/>
      <c r="J145" s="37">
        <f>IF(OR(H145="",I145="",I145=0),"",(I145-H145)/I145)</f>
        <v/>
      </c>
      <c r="K145" s="34" t="n"/>
      <c r="L145" s="34" t="n"/>
      <c r="M145">
        <f>IF(J145="","",IF(J145&gt;=0.66,5,IF(J145&gt;=0.5,4,IF(J145&gt;=0.4,3,IF(J145&gt;=0.25,2,1)))))</f>
        <v/>
      </c>
      <c r="N145">
        <f>IF(K145="","",IF(K145&lt;=100,5,IF(K145&lt;=250,4,IF(K145&lt;=500,3,IF(K145&lt;=1000,2,1)))))</f>
        <v/>
      </c>
      <c r="O145">
        <f>IF(OR(E145="",F145="",M145="",N145=""),"",E145+(6-F145)+M145+N145-IF(L145="Yes",2,0))</f>
        <v/>
      </c>
      <c r="P145" s="34" t="n"/>
      <c r="Q145" s="34" t="n"/>
    </row>
    <row r="146">
      <c r="A146" s="34" t="n"/>
      <c r="B146" s="34" t="n"/>
      <c r="C146" s="34" t="n"/>
      <c r="D146" s="35" t="n"/>
      <c r="E146" s="34" t="n"/>
      <c r="F146" s="34" t="n"/>
      <c r="G146" s="36" t="n"/>
      <c r="H146" s="36" t="n"/>
      <c r="I146" s="36" t="n"/>
      <c r="J146" s="37">
        <f>IF(OR(H146="",I146="",I146=0),"",(I146-H146)/I146)</f>
        <v/>
      </c>
      <c r="K146" s="34" t="n"/>
      <c r="L146" s="34" t="n"/>
      <c r="M146">
        <f>IF(J146="","",IF(J146&gt;=0.66,5,IF(J146&gt;=0.5,4,IF(J146&gt;=0.4,3,IF(J146&gt;=0.25,2,1)))))</f>
        <v/>
      </c>
      <c r="N146">
        <f>IF(K146="","",IF(K146&lt;=100,5,IF(K146&lt;=250,4,IF(K146&lt;=500,3,IF(K146&lt;=1000,2,1)))))</f>
        <v/>
      </c>
      <c r="O146">
        <f>IF(OR(E146="",F146="",M146="",N146=""),"",E146+(6-F146)+M146+N146-IF(L146="Yes",2,0))</f>
        <v/>
      </c>
      <c r="P146" s="34" t="n"/>
      <c r="Q146" s="34" t="n"/>
    </row>
    <row r="147">
      <c r="A147" s="34" t="n"/>
      <c r="B147" s="34" t="n"/>
      <c r="C147" s="34" t="n"/>
      <c r="D147" s="35" t="n"/>
      <c r="E147" s="34" t="n"/>
      <c r="F147" s="34" t="n"/>
      <c r="G147" s="36" t="n"/>
      <c r="H147" s="36" t="n"/>
      <c r="I147" s="36" t="n"/>
      <c r="J147" s="37">
        <f>IF(OR(H147="",I147="",I147=0),"",(I147-H147)/I147)</f>
        <v/>
      </c>
      <c r="K147" s="34" t="n"/>
      <c r="L147" s="34" t="n"/>
      <c r="M147">
        <f>IF(J147="","",IF(J147&gt;=0.66,5,IF(J147&gt;=0.5,4,IF(J147&gt;=0.4,3,IF(J147&gt;=0.25,2,1)))))</f>
        <v/>
      </c>
      <c r="N147">
        <f>IF(K147="","",IF(K147&lt;=100,5,IF(K147&lt;=250,4,IF(K147&lt;=500,3,IF(K147&lt;=1000,2,1)))))</f>
        <v/>
      </c>
      <c r="O147">
        <f>IF(OR(E147="",F147="",M147="",N147=""),"",E147+(6-F147)+M147+N147-IF(L147="Yes",2,0))</f>
        <v/>
      </c>
      <c r="P147" s="34" t="n"/>
      <c r="Q147" s="34" t="n"/>
    </row>
    <row r="148">
      <c r="A148" s="34" t="n"/>
      <c r="B148" s="34" t="n"/>
      <c r="C148" s="34" t="n"/>
      <c r="D148" s="35" t="n"/>
      <c r="E148" s="34" t="n"/>
      <c r="F148" s="34" t="n"/>
      <c r="G148" s="36" t="n"/>
      <c r="H148" s="36" t="n"/>
      <c r="I148" s="36" t="n"/>
      <c r="J148" s="37">
        <f>IF(OR(H148="",I148="",I148=0),"",(I148-H148)/I148)</f>
        <v/>
      </c>
      <c r="K148" s="34" t="n"/>
      <c r="L148" s="34" t="n"/>
      <c r="M148">
        <f>IF(J148="","",IF(J148&gt;=0.66,5,IF(J148&gt;=0.5,4,IF(J148&gt;=0.4,3,IF(J148&gt;=0.25,2,1)))))</f>
        <v/>
      </c>
      <c r="N148">
        <f>IF(K148="","",IF(K148&lt;=100,5,IF(K148&lt;=250,4,IF(K148&lt;=500,3,IF(K148&lt;=1000,2,1)))))</f>
        <v/>
      </c>
      <c r="O148">
        <f>IF(OR(E148="",F148="",M148="",N148=""),"",E148+(6-F148)+M148+N148-IF(L148="Yes",2,0))</f>
        <v/>
      </c>
      <c r="P148" s="34" t="n"/>
      <c r="Q148" s="34" t="n"/>
    </row>
    <row r="149">
      <c r="A149" s="34" t="n"/>
      <c r="B149" s="34" t="n"/>
      <c r="C149" s="34" t="n"/>
      <c r="D149" s="35" t="n"/>
      <c r="E149" s="34" t="n"/>
      <c r="F149" s="34" t="n"/>
      <c r="G149" s="36" t="n"/>
      <c r="H149" s="36" t="n"/>
      <c r="I149" s="36" t="n"/>
      <c r="J149" s="37">
        <f>IF(OR(H149="",I149="",I149=0),"",(I149-H149)/I149)</f>
        <v/>
      </c>
      <c r="K149" s="34" t="n"/>
      <c r="L149" s="34" t="n"/>
      <c r="M149">
        <f>IF(J149="","",IF(J149&gt;=0.66,5,IF(J149&gt;=0.5,4,IF(J149&gt;=0.4,3,IF(J149&gt;=0.25,2,1)))))</f>
        <v/>
      </c>
      <c r="N149">
        <f>IF(K149="","",IF(K149&lt;=100,5,IF(K149&lt;=250,4,IF(K149&lt;=500,3,IF(K149&lt;=1000,2,1)))))</f>
        <v/>
      </c>
      <c r="O149">
        <f>IF(OR(E149="",F149="",M149="",N149=""),"",E149+(6-F149)+M149+N149-IF(L149="Yes",2,0))</f>
        <v/>
      </c>
      <c r="P149" s="34" t="n"/>
      <c r="Q149" s="34" t="n"/>
    </row>
    <row r="150">
      <c r="A150" s="34" t="n"/>
      <c r="B150" s="34" t="n"/>
      <c r="C150" s="34" t="n"/>
      <c r="D150" s="35" t="n"/>
      <c r="E150" s="34" t="n"/>
      <c r="F150" s="34" t="n"/>
      <c r="G150" s="36" t="n"/>
      <c r="H150" s="36" t="n"/>
      <c r="I150" s="36" t="n"/>
      <c r="J150" s="37">
        <f>IF(OR(H150="",I150="",I150=0),"",(I150-H150)/I150)</f>
        <v/>
      </c>
      <c r="K150" s="34" t="n"/>
      <c r="L150" s="34" t="n"/>
      <c r="M150">
        <f>IF(J150="","",IF(J150&gt;=0.66,5,IF(J150&gt;=0.5,4,IF(J150&gt;=0.4,3,IF(J150&gt;=0.25,2,1)))))</f>
        <v/>
      </c>
      <c r="N150">
        <f>IF(K150="","",IF(K150&lt;=100,5,IF(K150&lt;=250,4,IF(K150&lt;=500,3,IF(K150&lt;=1000,2,1)))))</f>
        <v/>
      </c>
      <c r="O150">
        <f>IF(OR(E150="",F150="",M150="",N150=""),"",E150+(6-F150)+M150+N150-IF(L150="Yes",2,0))</f>
        <v/>
      </c>
      <c r="P150" s="34" t="n"/>
      <c r="Q150" s="34" t="n"/>
    </row>
    <row r="151">
      <c r="A151" s="34" t="n"/>
      <c r="B151" s="34" t="n"/>
      <c r="C151" s="34" t="n"/>
      <c r="D151" s="35" t="n"/>
      <c r="E151" s="34" t="n"/>
      <c r="F151" s="34" t="n"/>
      <c r="G151" s="36" t="n"/>
      <c r="H151" s="36" t="n"/>
      <c r="I151" s="36" t="n"/>
      <c r="J151" s="37">
        <f>IF(OR(H151="",I151="",I151=0),"",(I151-H151)/I151)</f>
        <v/>
      </c>
      <c r="K151" s="34" t="n"/>
      <c r="L151" s="34" t="n"/>
      <c r="M151">
        <f>IF(J151="","",IF(J151&gt;=0.66,5,IF(J151&gt;=0.5,4,IF(J151&gt;=0.4,3,IF(J151&gt;=0.25,2,1)))))</f>
        <v/>
      </c>
      <c r="N151">
        <f>IF(K151="","",IF(K151&lt;=100,5,IF(K151&lt;=250,4,IF(K151&lt;=500,3,IF(K151&lt;=1000,2,1)))))</f>
        <v/>
      </c>
      <c r="O151">
        <f>IF(OR(E151="",F151="",M151="",N151=""),"",E151+(6-F151)+M151+N151-IF(L151="Yes",2,0))</f>
        <v/>
      </c>
      <c r="P151" s="34" t="n"/>
      <c r="Q151" s="34" t="n"/>
    </row>
    <row r="152">
      <c r="A152" s="34" t="n"/>
      <c r="B152" s="34" t="n"/>
      <c r="C152" s="34" t="n"/>
      <c r="D152" s="35" t="n"/>
      <c r="E152" s="34" t="n"/>
      <c r="F152" s="34" t="n"/>
      <c r="G152" s="36" t="n"/>
      <c r="H152" s="36" t="n"/>
      <c r="I152" s="36" t="n"/>
      <c r="J152" s="37">
        <f>IF(OR(H152="",I152="",I152=0),"",(I152-H152)/I152)</f>
        <v/>
      </c>
      <c r="K152" s="34" t="n"/>
      <c r="L152" s="34" t="n"/>
      <c r="M152">
        <f>IF(J152="","",IF(J152&gt;=0.66,5,IF(J152&gt;=0.5,4,IF(J152&gt;=0.4,3,IF(J152&gt;=0.25,2,1)))))</f>
        <v/>
      </c>
      <c r="N152">
        <f>IF(K152="","",IF(K152&lt;=100,5,IF(K152&lt;=250,4,IF(K152&lt;=500,3,IF(K152&lt;=1000,2,1)))))</f>
        <v/>
      </c>
      <c r="O152">
        <f>IF(OR(E152="",F152="",M152="",N152=""),"",E152+(6-F152)+M152+N152-IF(L152="Yes",2,0))</f>
        <v/>
      </c>
      <c r="P152" s="34" t="n"/>
      <c r="Q152" s="34" t="n"/>
    </row>
    <row r="153">
      <c r="A153" s="34" t="n"/>
      <c r="B153" s="34" t="n"/>
      <c r="C153" s="34" t="n"/>
      <c r="D153" s="35" t="n"/>
      <c r="E153" s="34" t="n"/>
      <c r="F153" s="34" t="n"/>
      <c r="G153" s="36" t="n"/>
      <c r="H153" s="36" t="n"/>
      <c r="I153" s="36" t="n"/>
      <c r="J153" s="37">
        <f>IF(OR(H153="",I153="",I153=0),"",(I153-H153)/I153)</f>
        <v/>
      </c>
      <c r="K153" s="34" t="n"/>
      <c r="L153" s="34" t="n"/>
      <c r="M153">
        <f>IF(J153="","",IF(J153&gt;=0.66,5,IF(J153&gt;=0.5,4,IF(J153&gt;=0.4,3,IF(J153&gt;=0.25,2,1)))))</f>
        <v/>
      </c>
      <c r="N153">
        <f>IF(K153="","",IF(K153&lt;=100,5,IF(K153&lt;=250,4,IF(K153&lt;=500,3,IF(K153&lt;=1000,2,1)))))</f>
        <v/>
      </c>
      <c r="O153">
        <f>IF(OR(E153="",F153="",M153="",N153=""),"",E153+(6-F153)+M153+N153-IF(L153="Yes",2,0))</f>
        <v/>
      </c>
      <c r="P153" s="34" t="n"/>
      <c r="Q153" s="34" t="n"/>
    </row>
    <row r="154">
      <c r="A154" s="34" t="n"/>
      <c r="B154" s="34" t="n"/>
      <c r="C154" s="34" t="n"/>
      <c r="D154" s="35" t="n"/>
      <c r="E154" s="34" t="n"/>
      <c r="F154" s="34" t="n"/>
      <c r="G154" s="36" t="n"/>
      <c r="H154" s="36" t="n"/>
      <c r="I154" s="36" t="n"/>
      <c r="J154" s="37">
        <f>IF(OR(H154="",I154="",I154=0),"",(I154-H154)/I154)</f>
        <v/>
      </c>
      <c r="K154" s="34" t="n"/>
      <c r="L154" s="34" t="n"/>
      <c r="M154">
        <f>IF(J154="","",IF(J154&gt;=0.66,5,IF(J154&gt;=0.5,4,IF(J154&gt;=0.4,3,IF(J154&gt;=0.25,2,1)))))</f>
        <v/>
      </c>
      <c r="N154">
        <f>IF(K154="","",IF(K154&lt;=100,5,IF(K154&lt;=250,4,IF(K154&lt;=500,3,IF(K154&lt;=1000,2,1)))))</f>
        <v/>
      </c>
      <c r="O154">
        <f>IF(OR(E154="",F154="",M154="",N154=""),"",E154+(6-F154)+M154+N154-IF(L154="Yes",2,0))</f>
        <v/>
      </c>
      <c r="P154" s="34" t="n"/>
      <c r="Q154" s="34" t="n"/>
    </row>
    <row r="155">
      <c r="A155" s="34" t="n"/>
      <c r="B155" s="34" t="n"/>
      <c r="C155" s="34" t="n"/>
      <c r="D155" s="35" t="n"/>
      <c r="E155" s="34" t="n"/>
      <c r="F155" s="34" t="n"/>
      <c r="G155" s="36" t="n"/>
      <c r="H155" s="36" t="n"/>
      <c r="I155" s="36" t="n"/>
      <c r="J155" s="37">
        <f>IF(OR(H155="",I155="",I155=0),"",(I155-H155)/I155)</f>
        <v/>
      </c>
      <c r="K155" s="34" t="n"/>
      <c r="L155" s="34" t="n"/>
      <c r="M155">
        <f>IF(J155="","",IF(J155&gt;=0.66,5,IF(J155&gt;=0.5,4,IF(J155&gt;=0.4,3,IF(J155&gt;=0.25,2,1)))))</f>
        <v/>
      </c>
      <c r="N155">
        <f>IF(K155="","",IF(K155&lt;=100,5,IF(K155&lt;=250,4,IF(K155&lt;=500,3,IF(K155&lt;=1000,2,1)))))</f>
        <v/>
      </c>
      <c r="O155">
        <f>IF(OR(E155="",F155="",M155="",N155=""),"",E155+(6-F155)+M155+N155-IF(L155="Yes",2,0))</f>
        <v/>
      </c>
      <c r="P155" s="34" t="n"/>
      <c r="Q155" s="34" t="n"/>
    </row>
    <row r="156">
      <c r="A156" s="34" t="n"/>
      <c r="B156" s="34" t="n"/>
      <c r="C156" s="34" t="n"/>
      <c r="D156" s="35" t="n"/>
      <c r="E156" s="34" t="n"/>
      <c r="F156" s="34" t="n"/>
      <c r="G156" s="36" t="n"/>
      <c r="H156" s="36" t="n"/>
      <c r="I156" s="36" t="n"/>
      <c r="J156" s="37">
        <f>IF(OR(H156="",I156="",I156=0),"",(I156-H156)/I156)</f>
        <v/>
      </c>
      <c r="K156" s="34" t="n"/>
      <c r="L156" s="34" t="n"/>
      <c r="M156">
        <f>IF(J156="","",IF(J156&gt;=0.66,5,IF(J156&gt;=0.5,4,IF(J156&gt;=0.4,3,IF(J156&gt;=0.25,2,1)))))</f>
        <v/>
      </c>
      <c r="N156">
        <f>IF(K156="","",IF(K156&lt;=100,5,IF(K156&lt;=250,4,IF(K156&lt;=500,3,IF(K156&lt;=1000,2,1)))))</f>
        <v/>
      </c>
      <c r="O156">
        <f>IF(OR(E156="",F156="",M156="",N156=""),"",E156+(6-F156)+M156+N156-IF(L156="Yes",2,0))</f>
        <v/>
      </c>
      <c r="P156" s="34" t="n"/>
      <c r="Q156" s="34" t="n"/>
    </row>
    <row r="157">
      <c r="A157" s="34" t="n"/>
      <c r="B157" s="34" t="n"/>
      <c r="C157" s="34" t="n"/>
      <c r="D157" s="35" t="n"/>
      <c r="E157" s="34" t="n"/>
      <c r="F157" s="34" t="n"/>
      <c r="G157" s="36" t="n"/>
      <c r="H157" s="36" t="n"/>
      <c r="I157" s="36" t="n"/>
      <c r="J157" s="37">
        <f>IF(OR(H157="",I157="",I157=0),"",(I157-H157)/I157)</f>
        <v/>
      </c>
      <c r="K157" s="34" t="n"/>
      <c r="L157" s="34" t="n"/>
      <c r="M157">
        <f>IF(J157="","",IF(J157&gt;=0.66,5,IF(J157&gt;=0.5,4,IF(J157&gt;=0.4,3,IF(J157&gt;=0.25,2,1)))))</f>
        <v/>
      </c>
      <c r="N157">
        <f>IF(K157="","",IF(K157&lt;=100,5,IF(K157&lt;=250,4,IF(K157&lt;=500,3,IF(K157&lt;=1000,2,1)))))</f>
        <v/>
      </c>
      <c r="O157">
        <f>IF(OR(E157="",F157="",M157="",N157=""),"",E157+(6-F157)+M157+N157-IF(L157="Yes",2,0))</f>
        <v/>
      </c>
      <c r="P157" s="34" t="n"/>
      <c r="Q157" s="34" t="n"/>
    </row>
    <row r="158">
      <c r="A158" s="34" t="n"/>
      <c r="B158" s="34" t="n"/>
      <c r="C158" s="34" t="n"/>
      <c r="D158" s="35" t="n"/>
      <c r="E158" s="34" t="n"/>
      <c r="F158" s="34" t="n"/>
      <c r="G158" s="36" t="n"/>
      <c r="H158" s="36" t="n"/>
      <c r="I158" s="36" t="n"/>
      <c r="J158" s="37">
        <f>IF(OR(H158="",I158="",I158=0),"",(I158-H158)/I158)</f>
        <v/>
      </c>
      <c r="K158" s="34" t="n"/>
      <c r="L158" s="34" t="n"/>
      <c r="M158">
        <f>IF(J158="","",IF(J158&gt;=0.66,5,IF(J158&gt;=0.5,4,IF(J158&gt;=0.4,3,IF(J158&gt;=0.25,2,1)))))</f>
        <v/>
      </c>
      <c r="N158">
        <f>IF(K158="","",IF(K158&lt;=100,5,IF(K158&lt;=250,4,IF(K158&lt;=500,3,IF(K158&lt;=1000,2,1)))))</f>
        <v/>
      </c>
      <c r="O158">
        <f>IF(OR(E158="",F158="",M158="",N158=""),"",E158+(6-F158)+M158+N158-IF(L158="Yes",2,0))</f>
        <v/>
      </c>
      <c r="P158" s="34" t="n"/>
      <c r="Q158" s="34" t="n"/>
    </row>
    <row r="159">
      <c r="A159" s="34" t="n"/>
      <c r="B159" s="34" t="n"/>
      <c r="C159" s="34" t="n"/>
      <c r="D159" s="35" t="n"/>
      <c r="E159" s="34" t="n"/>
      <c r="F159" s="34" t="n"/>
      <c r="G159" s="36" t="n"/>
      <c r="H159" s="36" t="n"/>
      <c r="I159" s="36" t="n"/>
      <c r="J159" s="37">
        <f>IF(OR(H159="",I159="",I159=0),"",(I159-H159)/I159)</f>
        <v/>
      </c>
      <c r="K159" s="34" t="n"/>
      <c r="L159" s="34" t="n"/>
      <c r="M159">
        <f>IF(J159="","",IF(J159&gt;=0.66,5,IF(J159&gt;=0.5,4,IF(J159&gt;=0.4,3,IF(J159&gt;=0.25,2,1)))))</f>
        <v/>
      </c>
      <c r="N159">
        <f>IF(K159="","",IF(K159&lt;=100,5,IF(K159&lt;=250,4,IF(K159&lt;=500,3,IF(K159&lt;=1000,2,1)))))</f>
        <v/>
      </c>
      <c r="O159">
        <f>IF(OR(E159="",F159="",M159="",N159=""),"",E159+(6-F159)+M159+N159-IF(L159="Yes",2,0))</f>
        <v/>
      </c>
      <c r="P159" s="34" t="n"/>
      <c r="Q159" s="34" t="n"/>
    </row>
    <row r="160">
      <c r="A160" s="34" t="n"/>
      <c r="B160" s="34" t="n"/>
      <c r="C160" s="34" t="n"/>
      <c r="D160" s="35" t="n"/>
      <c r="E160" s="34" t="n"/>
      <c r="F160" s="34" t="n"/>
      <c r="G160" s="36" t="n"/>
      <c r="H160" s="36" t="n"/>
      <c r="I160" s="36" t="n"/>
      <c r="J160" s="37">
        <f>IF(OR(H160="",I160="",I160=0),"",(I160-H160)/I160)</f>
        <v/>
      </c>
      <c r="K160" s="34" t="n"/>
      <c r="L160" s="34" t="n"/>
      <c r="M160">
        <f>IF(J160="","",IF(J160&gt;=0.66,5,IF(J160&gt;=0.5,4,IF(J160&gt;=0.4,3,IF(J160&gt;=0.25,2,1)))))</f>
        <v/>
      </c>
      <c r="N160">
        <f>IF(K160="","",IF(K160&lt;=100,5,IF(K160&lt;=250,4,IF(K160&lt;=500,3,IF(K160&lt;=1000,2,1)))))</f>
        <v/>
      </c>
      <c r="O160">
        <f>IF(OR(E160="",F160="",M160="",N160=""),"",E160+(6-F160)+M160+N160-IF(L160="Yes",2,0))</f>
        <v/>
      </c>
      <c r="P160" s="34" t="n"/>
      <c r="Q160" s="34" t="n"/>
    </row>
    <row r="161">
      <c r="A161" s="34" t="n"/>
      <c r="B161" s="34" t="n"/>
      <c r="C161" s="34" t="n"/>
      <c r="D161" s="35" t="n"/>
      <c r="E161" s="34" t="n"/>
      <c r="F161" s="34" t="n"/>
      <c r="G161" s="36" t="n"/>
      <c r="H161" s="36" t="n"/>
      <c r="I161" s="36" t="n"/>
      <c r="J161" s="37">
        <f>IF(OR(H161="",I161="",I161=0),"",(I161-H161)/I161)</f>
        <v/>
      </c>
      <c r="K161" s="34" t="n"/>
      <c r="L161" s="34" t="n"/>
      <c r="M161">
        <f>IF(J161="","",IF(J161&gt;=0.66,5,IF(J161&gt;=0.5,4,IF(J161&gt;=0.4,3,IF(J161&gt;=0.25,2,1)))))</f>
        <v/>
      </c>
      <c r="N161">
        <f>IF(K161="","",IF(K161&lt;=100,5,IF(K161&lt;=250,4,IF(K161&lt;=500,3,IF(K161&lt;=1000,2,1)))))</f>
        <v/>
      </c>
      <c r="O161">
        <f>IF(OR(E161="",F161="",M161="",N161=""),"",E161+(6-F161)+M161+N161-IF(L161="Yes",2,0))</f>
        <v/>
      </c>
      <c r="P161" s="34" t="n"/>
      <c r="Q161" s="34" t="n"/>
    </row>
    <row r="162">
      <c r="A162" s="34" t="n"/>
      <c r="B162" s="34" t="n"/>
      <c r="C162" s="34" t="n"/>
      <c r="D162" s="35" t="n"/>
      <c r="E162" s="34" t="n"/>
      <c r="F162" s="34" t="n"/>
      <c r="G162" s="36" t="n"/>
      <c r="H162" s="36" t="n"/>
      <c r="I162" s="36" t="n"/>
      <c r="J162" s="37">
        <f>IF(OR(H162="",I162="",I162=0),"",(I162-H162)/I162)</f>
        <v/>
      </c>
      <c r="K162" s="34" t="n"/>
      <c r="L162" s="34" t="n"/>
      <c r="M162">
        <f>IF(J162="","",IF(J162&gt;=0.66,5,IF(J162&gt;=0.5,4,IF(J162&gt;=0.4,3,IF(J162&gt;=0.25,2,1)))))</f>
        <v/>
      </c>
      <c r="N162">
        <f>IF(K162="","",IF(K162&lt;=100,5,IF(K162&lt;=250,4,IF(K162&lt;=500,3,IF(K162&lt;=1000,2,1)))))</f>
        <v/>
      </c>
      <c r="O162">
        <f>IF(OR(E162="",F162="",M162="",N162=""),"",E162+(6-F162)+M162+N162-IF(L162="Yes",2,0))</f>
        <v/>
      </c>
      <c r="P162" s="34" t="n"/>
      <c r="Q162" s="34" t="n"/>
    </row>
    <row r="163">
      <c r="A163" s="34" t="n"/>
      <c r="B163" s="34" t="n"/>
      <c r="C163" s="34" t="n"/>
      <c r="D163" s="35" t="n"/>
      <c r="E163" s="34" t="n"/>
      <c r="F163" s="34" t="n"/>
      <c r="G163" s="36" t="n"/>
      <c r="H163" s="36" t="n"/>
      <c r="I163" s="36" t="n"/>
      <c r="J163" s="37">
        <f>IF(OR(H163="",I163="",I163=0),"",(I163-H163)/I163)</f>
        <v/>
      </c>
      <c r="K163" s="34" t="n"/>
      <c r="L163" s="34" t="n"/>
      <c r="M163">
        <f>IF(J163="","",IF(J163&gt;=0.66,5,IF(J163&gt;=0.5,4,IF(J163&gt;=0.4,3,IF(J163&gt;=0.25,2,1)))))</f>
        <v/>
      </c>
      <c r="N163">
        <f>IF(K163="","",IF(K163&lt;=100,5,IF(K163&lt;=250,4,IF(K163&lt;=500,3,IF(K163&lt;=1000,2,1)))))</f>
        <v/>
      </c>
      <c r="O163">
        <f>IF(OR(E163="",F163="",M163="",N163=""),"",E163+(6-F163)+M163+N163-IF(L163="Yes",2,0))</f>
        <v/>
      </c>
      <c r="P163" s="34" t="n"/>
      <c r="Q163" s="34" t="n"/>
    </row>
    <row r="164">
      <c r="A164" s="34" t="n"/>
      <c r="B164" s="34" t="n"/>
      <c r="C164" s="34" t="n"/>
      <c r="D164" s="35" t="n"/>
      <c r="E164" s="34" t="n"/>
      <c r="F164" s="34" t="n"/>
      <c r="G164" s="36" t="n"/>
      <c r="H164" s="36" t="n"/>
      <c r="I164" s="36" t="n"/>
      <c r="J164" s="37">
        <f>IF(OR(H164="",I164="",I164=0),"",(I164-H164)/I164)</f>
        <v/>
      </c>
      <c r="K164" s="34" t="n"/>
      <c r="L164" s="34" t="n"/>
      <c r="M164">
        <f>IF(J164="","",IF(J164&gt;=0.66,5,IF(J164&gt;=0.5,4,IF(J164&gt;=0.4,3,IF(J164&gt;=0.25,2,1)))))</f>
        <v/>
      </c>
      <c r="N164">
        <f>IF(K164="","",IF(K164&lt;=100,5,IF(K164&lt;=250,4,IF(K164&lt;=500,3,IF(K164&lt;=1000,2,1)))))</f>
        <v/>
      </c>
      <c r="O164">
        <f>IF(OR(E164="",F164="",M164="",N164=""),"",E164+(6-F164)+M164+N164-IF(L164="Yes",2,0))</f>
        <v/>
      </c>
      <c r="P164" s="34" t="n"/>
      <c r="Q164" s="34" t="n"/>
    </row>
    <row r="165">
      <c r="A165" s="34" t="n"/>
      <c r="B165" s="34" t="n"/>
      <c r="C165" s="34" t="n"/>
      <c r="D165" s="35" t="n"/>
      <c r="E165" s="34" t="n"/>
      <c r="F165" s="34" t="n"/>
      <c r="G165" s="36" t="n"/>
      <c r="H165" s="36" t="n"/>
      <c r="I165" s="36" t="n"/>
      <c r="J165" s="37">
        <f>IF(OR(H165="",I165="",I165=0),"",(I165-H165)/I165)</f>
        <v/>
      </c>
      <c r="K165" s="34" t="n"/>
      <c r="L165" s="34" t="n"/>
      <c r="M165">
        <f>IF(J165="","",IF(J165&gt;=0.66,5,IF(J165&gt;=0.5,4,IF(J165&gt;=0.4,3,IF(J165&gt;=0.25,2,1)))))</f>
        <v/>
      </c>
      <c r="N165">
        <f>IF(K165="","",IF(K165&lt;=100,5,IF(K165&lt;=250,4,IF(K165&lt;=500,3,IF(K165&lt;=1000,2,1)))))</f>
        <v/>
      </c>
      <c r="O165">
        <f>IF(OR(E165="",F165="",M165="",N165=""),"",E165+(6-F165)+M165+N165-IF(L165="Yes",2,0))</f>
        <v/>
      </c>
      <c r="P165" s="34" t="n"/>
      <c r="Q165" s="34" t="n"/>
    </row>
    <row r="166">
      <c r="A166" s="34" t="n"/>
      <c r="B166" s="34" t="n"/>
      <c r="C166" s="34" t="n"/>
      <c r="D166" s="35" t="n"/>
      <c r="E166" s="34" t="n"/>
      <c r="F166" s="34" t="n"/>
      <c r="G166" s="36" t="n"/>
      <c r="H166" s="36" t="n"/>
      <c r="I166" s="36" t="n"/>
      <c r="J166" s="37">
        <f>IF(OR(H166="",I166="",I166=0),"",(I166-H166)/I166)</f>
        <v/>
      </c>
      <c r="K166" s="34" t="n"/>
      <c r="L166" s="34" t="n"/>
      <c r="M166">
        <f>IF(J166="","",IF(J166&gt;=0.66,5,IF(J166&gt;=0.5,4,IF(J166&gt;=0.4,3,IF(J166&gt;=0.25,2,1)))))</f>
        <v/>
      </c>
      <c r="N166">
        <f>IF(K166="","",IF(K166&lt;=100,5,IF(K166&lt;=250,4,IF(K166&lt;=500,3,IF(K166&lt;=1000,2,1)))))</f>
        <v/>
      </c>
      <c r="O166">
        <f>IF(OR(E166="",F166="",M166="",N166=""),"",E166+(6-F166)+M166+N166-IF(L166="Yes",2,0))</f>
        <v/>
      </c>
      <c r="P166" s="34" t="n"/>
      <c r="Q166" s="34" t="n"/>
    </row>
    <row r="167">
      <c r="A167" s="34" t="n"/>
      <c r="B167" s="34" t="n"/>
      <c r="C167" s="34" t="n"/>
      <c r="D167" s="35" t="n"/>
      <c r="E167" s="34" t="n"/>
      <c r="F167" s="34" t="n"/>
      <c r="G167" s="36" t="n"/>
      <c r="H167" s="36" t="n"/>
      <c r="I167" s="36" t="n"/>
      <c r="J167" s="37">
        <f>IF(OR(H167="",I167="",I167=0),"",(I167-H167)/I167)</f>
        <v/>
      </c>
      <c r="K167" s="34" t="n"/>
      <c r="L167" s="34" t="n"/>
      <c r="M167">
        <f>IF(J167="","",IF(J167&gt;=0.66,5,IF(J167&gt;=0.5,4,IF(J167&gt;=0.4,3,IF(J167&gt;=0.25,2,1)))))</f>
        <v/>
      </c>
      <c r="N167">
        <f>IF(K167="","",IF(K167&lt;=100,5,IF(K167&lt;=250,4,IF(K167&lt;=500,3,IF(K167&lt;=1000,2,1)))))</f>
        <v/>
      </c>
      <c r="O167">
        <f>IF(OR(E167="",F167="",M167="",N167=""),"",E167+(6-F167)+M167+N167-IF(L167="Yes",2,0))</f>
        <v/>
      </c>
      <c r="P167" s="34" t="n"/>
      <c r="Q167" s="34" t="n"/>
    </row>
    <row r="168">
      <c r="A168" s="34" t="n"/>
      <c r="B168" s="34" t="n"/>
      <c r="C168" s="34" t="n"/>
      <c r="D168" s="35" t="n"/>
      <c r="E168" s="34" t="n"/>
      <c r="F168" s="34" t="n"/>
      <c r="G168" s="36" t="n"/>
      <c r="H168" s="36" t="n"/>
      <c r="I168" s="36" t="n"/>
      <c r="J168" s="37">
        <f>IF(OR(H168="",I168="",I168=0),"",(I168-H168)/I168)</f>
        <v/>
      </c>
      <c r="K168" s="34" t="n"/>
      <c r="L168" s="34" t="n"/>
      <c r="M168">
        <f>IF(J168="","",IF(J168&gt;=0.66,5,IF(J168&gt;=0.5,4,IF(J168&gt;=0.4,3,IF(J168&gt;=0.25,2,1)))))</f>
        <v/>
      </c>
      <c r="N168">
        <f>IF(K168="","",IF(K168&lt;=100,5,IF(K168&lt;=250,4,IF(K168&lt;=500,3,IF(K168&lt;=1000,2,1)))))</f>
        <v/>
      </c>
      <c r="O168">
        <f>IF(OR(E168="",F168="",M168="",N168=""),"",E168+(6-F168)+M168+N168-IF(L168="Yes",2,0))</f>
        <v/>
      </c>
      <c r="P168" s="34" t="n"/>
      <c r="Q168" s="34" t="n"/>
    </row>
    <row r="169">
      <c r="A169" s="34" t="n"/>
      <c r="B169" s="34" t="n"/>
      <c r="C169" s="34" t="n"/>
      <c r="D169" s="35" t="n"/>
      <c r="E169" s="34" t="n"/>
      <c r="F169" s="34" t="n"/>
      <c r="G169" s="36" t="n"/>
      <c r="H169" s="36" t="n"/>
      <c r="I169" s="36" t="n"/>
      <c r="J169" s="37">
        <f>IF(OR(H169="",I169="",I169=0),"",(I169-H169)/I169)</f>
        <v/>
      </c>
      <c r="K169" s="34" t="n"/>
      <c r="L169" s="34" t="n"/>
      <c r="M169">
        <f>IF(J169="","",IF(J169&gt;=0.66,5,IF(J169&gt;=0.5,4,IF(J169&gt;=0.4,3,IF(J169&gt;=0.25,2,1)))))</f>
        <v/>
      </c>
      <c r="N169">
        <f>IF(K169="","",IF(K169&lt;=100,5,IF(K169&lt;=250,4,IF(K169&lt;=500,3,IF(K169&lt;=1000,2,1)))))</f>
        <v/>
      </c>
      <c r="O169">
        <f>IF(OR(E169="",F169="",M169="",N169=""),"",E169+(6-F169)+M169+N169-IF(L169="Yes",2,0))</f>
        <v/>
      </c>
      <c r="P169" s="34" t="n"/>
      <c r="Q169" s="34" t="n"/>
    </row>
    <row r="170">
      <c r="A170" s="34" t="n"/>
      <c r="B170" s="34" t="n"/>
      <c r="C170" s="34" t="n"/>
      <c r="D170" s="35" t="n"/>
      <c r="E170" s="34" t="n"/>
      <c r="F170" s="34" t="n"/>
      <c r="G170" s="36" t="n"/>
      <c r="H170" s="36" t="n"/>
      <c r="I170" s="36" t="n"/>
      <c r="J170" s="37">
        <f>IF(OR(H170="",I170="",I170=0),"",(I170-H170)/I170)</f>
        <v/>
      </c>
      <c r="K170" s="34" t="n"/>
      <c r="L170" s="34" t="n"/>
      <c r="M170">
        <f>IF(J170="","",IF(J170&gt;=0.66,5,IF(J170&gt;=0.5,4,IF(J170&gt;=0.4,3,IF(J170&gt;=0.25,2,1)))))</f>
        <v/>
      </c>
      <c r="N170">
        <f>IF(K170="","",IF(K170&lt;=100,5,IF(K170&lt;=250,4,IF(K170&lt;=500,3,IF(K170&lt;=1000,2,1)))))</f>
        <v/>
      </c>
      <c r="O170">
        <f>IF(OR(E170="",F170="",M170="",N170=""),"",E170+(6-F170)+M170+N170-IF(L170="Yes",2,0))</f>
        <v/>
      </c>
      <c r="P170" s="34" t="n"/>
      <c r="Q170" s="34" t="n"/>
    </row>
    <row r="171">
      <c r="A171" s="34" t="n"/>
      <c r="B171" s="34" t="n"/>
      <c r="C171" s="34" t="n"/>
      <c r="D171" s="35" t="n"/>
      <c r="E171" s="34" t="n"/>
      <c r="F171" s="34" t="n"/>
      <c r="G171" s="36" t="n"/>
      <c r="H171" s="36" t="n"/>
      <c r="I171" s="36" t="n"/>
      <c r="J171" s="37">
        <f>IF(OR(H171="",I171="",I171=0),"",(I171-H171)/I171)</f>
        <v/>
      </c>
      <c r="K171" s="34" t="n"/>
      <c r="L171" s="34" t="n"/>
      <c r="M171">
        <f>IF(J171="","",IF(J171&gt;=0.66,5,IF(J171&gt;=0.5,4,IF(J171&gt;=0.4,3,IF(J171&gt;=0.25,2,1)))))</f>
        <v/>
      </c>
      <c r="N171">
        <f>IF(K171="","",IF(K171&lt;=100,5,IF(K171&lt;=250,4,IF(K171&lt;=500,3,IF(K171&lt;=1000,2,1)))))</f>
        <v/>
      </c>
      <c r="O171">
        <f>IF(OR(E171="",F171="",M171="",N171=""),"",E171+(6-F171)+M171+N171-IF(L171="Yes",2,0))</f>
        <v/>
      </c>
      <c r="P171" s="34" t="n"/>
      <c r="Q171" s="34" t="n"/>
    </row>
    <row r="172">
      <c r="A172" s="34" t="n"/>
      <c r="B172" s="34" t="n"/>
      <c r="C172" s="34" t="n"/>
      <c r="D172" s="35" t="n"/>
      <c r="E172" s="34" t="n"/>
      <c r="F172" s="34" t="n"/>
      <c r="G172" s="36" t="n"/>
      <c r="H172" s="36" t="n"/>
      <c r="I172" s="36" t="n"/>
      <c r="J172" s="37">
        <f>IF(OR(H172="",I172="",I172=0),"",(I172-H172)/I172)</f>
        <v/>
      </c>
      <c r="K172" s="34" t="n"/>
      <c r="L172" s="34" t="n"/>
      <c r="M172">
        <f>IF(J172="","",IF(J172&gt;=0.66,5,IF(J172&gt;=0.5,4,IF(J172&gt;=0.4,3,IF(J172&gt;=0.25,2,1)))))</f>
        <v/>
      </c>
      <c r="N172">
        <f>IF(K172="","",IF(K172&lt;=100,5,IF(K172&lt;=250,4,IF(K172&lt;=500,3,IF(K172&lt;=1000,2,1)))))</f>
        <v/>
      </c>
      <c r="O172">
        <f>IF(OR(E172="",F172="",M172="",N172=""),"",E172+(6-F172)+M172+N172-IF(L172="Yes",2,0))</f>
        <v/>
      </c>
      <c r="P172" s="34" t="n"/>
      <c r="Q172" s="34" t="n"/>
    </row>
    <row r="173">
      <c r="A173" s="34" t="n"/>
      <c r="B173" s="34" t="n"/>
      <c r="C173" s="34" t="n"/>
      <c r="D173" s="35" t="n"/>
      <c r="E173" s="34" t="n"/>
      <c r="F173" s="34" t="n"/>
      <c r="G173" s="36" t="n"/>
      <c r="H173" s="36" t="n"/>
      <c r="I173" s="36" t="n"/>
      <c r="J173" s="37">
        <f>IF(OR(H173="",I173="",I173=0),"",(I173-H173)/I173)</f>
        <v/>
      </c>
      <c r="K173" s="34" t="n"/>
      <c r="L173" s="34" t="n"/>
      <c r="M173">
        <f>IF(J173="","",IF(J173&gt;=0.66,5,IF(J173&gt;=0.5,4,IF(J173&gt;=0.4,3,IF(J173&gt;=0.25,2,1)))))</f>
        <v/>
      </c>
      <c r="N173">
        <f>IF(K173="","",IF(K173&lt;=100,5,IF(K173&lt;=250,4,IF(K173&lt;=500,3,IF(K173&lt;=1000,2,1)))))</f>
        <v/>
      </c>
      <c r="O173">
        <f>IF(OR(E173="",F173="",M173="",N173=""),"",E173+(6-F173)+M173+N173-IF(L173="Yes",2,0))</f>
        <v/>
      </c>
      <c r="P173" s="34" t="n"/>
      <c r="Q173" s="34" t="n"/>
    </row>
    <row r="174">
      <c r="A174" s="34" t="n"/>
      <c r="B174" s="34" t="n"/>
      <c r="C174" s="34" t="n"/>
      <c r="D174" s="35" t="n"/>
      <c r="E174" s="34" t="n"/>
      <c r="F174" s="34" t="n"/>
      <c r="G174" s="36" t="n"/>
      <c r="H174" s="36" t="n"/>
      <c r="I174" s="36" t="n"/>
      <c r="J174" s="37">
        <f>IF(OR(H174="",I174="",I174=0),"",(I174-H174)/I174)</f>
        <v/>
      </c>
      <c r="K174" s="34" t="n"/>
      <c r="L174" s="34" t="n"/>
      <c r="M174">
        <f>IF(J174="","",IF(J174&gt;=0.66,5,IF(J174&gt;=0.5,4,IF(J174&gt;=0.4,3,IF(J174&gt;=0.25,2,1)))))</f>
        <v/>
      </c>
      <c r="N174">
        <f>IF(K174="","",IF(K174&lt;=100,5,IF(K174&lt;=250,4,IF(K174&lt;=500,3,IF(K174&lt;=1000,2,1)))))</f>
        <v/>
      </c>
      <c r="O174">
        <f>IF(OR(E174="",F174="",M174="",N174=""),"",E174+(6-F174)+M174+N174-IF(L174="Yes",2,0))</f>
        <v/>
      </c>
      <c r="P174" s="34" t="n"/>
      <c r="Q174" s="34" t="n"/>
    </row>
    <row r="175">
      <c r="A175" s="34" t="n"/>
      <c r="B175" s="34" t="n"/>
      <c r="C175" s="34" t="n"/>
      <c r="D175" s="35" t="n"/>
      <c r="E175" s="34" t="n"/>
      <c r="F175" s="34" t="n"/>
      <c r="G175" s="36" t="n"/>
      <c r="H175" s="36" t="n"/>
      <c r="I175" s="36" t="n"/>
      <c r="J175" s="37">
        <f>IF(OR(H175="",I175="",I175=0),"",(I175-H175)/I175)</f>
        <v/>
      </c>
      <c r="K175" s="34" t="n"/>
      <c r="L175" s="34" t="n"/>
      <c r="M175">
        <f>IF(J175="","",IF(J175&gt;=0.66,5,IF(J175&gt;=0.5,4,IF(J175&gt;=0.4,3,IF(J175&gt;=0.25,2,1)))))</f>
        <v/>
      </c>
      <c r="N175">
        <f>IF(K175="","",IF(K175&lt;=100,5,IF(K175&lt;=250,4,IF(K175&lt;=500,3,IF(K175&lt;=1000,2,1)))))</f>
        <v/>
      </c>
      <c r="O175">
        <f>IF(OR(E175="",F175="",M175="",N175=""),"",E175+(6-F175)+M175+N175-IF(L175="Yes",2,0))</f>
        <v/>
      </c>
      <c r="P175" s="34" t="n"/>
      <c r="Q175" s="34" t="n"/>
    </row>
    <row r="176">
      <c r="A176" s="34" t="n"/>
      <c r="B176" s="34" t="n"/>
      <c r="C176" s="34" t="n"/>
      <c r="D176" s="35" t="n"/>
      <c r="E176" s="34" t="n"/>
      <c r="F176" s="34" t="n"/>
      <c r="G176" s="36" t="n"/>
      <c r="H176" s="36" t="n"/>
      <c r="I176" s="36" t="n"/>
      <c r="J176" s="37">
        <f>IF(OR(H176="",I176="",I176=0),"",(I176-H176)/I176)</f>
        <v/>
      </c>
      <c r="K176" s="34" t="n"/>
      <c r="L176" s="34" t="n"/>
      <c r="M176">
        <f>IF(J176="","",IF(J176&gt;=0.66,5,IF(J176&gt;=0.5,4,IF(J176&gt;=0.4,3,IF(J176&gt;=0.25,2,1)))))</f>
        <v/>
      </c>
      <c r="N176">
        <f>IF(K176="","",IF(K176&lt;=100,5,IF(K176&lt;=250,4,IF(K176&lt;=500,3,IF(K176&lt;=1000,2,1)))))</f>
        <v/>
      </c>
      <c r="O176">
        <f>IF(OR(E176="",F176="",M176="",N176=""),"",E176+(6-F176)+M176+N176-IF(L176="Yes",2,0))</f>
        <v/>
      </c>
      <c r="P176" s="34" t="n"/>
      <c r="Q176" s="34" t="n"/>
    </row>
    <row r="177">
      <c r="A177" s="34" t="n"/>
      <c r="B177" s="34" t="n"/>
      <c r="C177" s="34" t="n"/>
      <c r="D177" s="35" t="n"/>
      <c r="E177" s="34" t="n"/>
      <c r="F177" s="34" t="n"/>
      <c r="G177" s="36" t="n"/>
      <c r="H177" s="36" t="n"/>
      <c r="I177" s="36" t="n"/>
      <c r="J177" s="37">
        <f>IF(OR(H177="",I177="",I177=0),"",(I177-H177)/I177)</f>
        <v/>
      </c>
      <c r="K177" s="34" t="n"/>
      <c r="L177" s="34" t="n"/>
      <c r="M177">
        <f>IF(J177="","",IF(J177&gt;=0.66,5,IF(J177&gt;=0.5,4,IF(J177&gt;=0.4,3,IF(J177&gt;=0.25,2,1)))))</f>
        <v/>
      </c>
      <c r="N177">
        <f>IF(K177="","",IF(K177&lt;=100,5,IF(K177&lt;=250,4,IF(K177&lt;=500,3,IF(K177&lt;=1000,2,1)))))</f>
        <v/>
      </c>
      <c r="O177">
        <f>IF(OR(E177="",F177="",M177="",N177=""),"",E177+(6-F177)+M177+N177-IF(L177="Yes",2,0))</f>
        <v/>
      </c>
      <c r="P177" s="34" t="n"/>
      <c r="Q177" s="34" t="n"/>
    </row>
    <row r="178">
      <c r="A178" s="34" t="n"/>
      <c r="B178" s="34" t="n"/>
      <c r="C178" s="34" t="n"/>
      <c r="D178" s="35" t="n"/>
      <c r="E178" s="34" t="n"/>
      <c r="F178" s="34" t="n"/>
      <c r="G178" s="36" t="n"/>
      <c r="H178" s="36" t="n"/>
      <c r="I178" s="36" t="n"/>
      <c r="J178" s="37">
        <f>IF(OR(H178="",I178="",I178=0),"",(I178-H178)/I178)</f>
        <v/>
      </c>
      <c r="K178" s="34" t="n"/>
      <c r="L178" s="34" t="n"/>
      <c r="M178">
        <f>IF(J178="","",IF(J178&gt;=0.66,5,IF(J178&gt;=0.5,4,IF(J178&gt;=0.4,3,IF(J178&gt;=0.25,2,1)))))</f>
        <v/>
      </c>
      <c r="N178">
        <f>IF(K178="","",IF(K178&lt;=100,5,IF(K178&lt;=250,4,IF(K178&lt;=500,3,IF(K178&lt;=1000,2,1)))))</f>
        <v/>
      </c>
      <c r="O178">
        <f>IF(OR(E178="",F178="",M178="",N178=""),"",E178+(6-F178)+M178+N178-IF(L178="Yes",2,0))</f>
        <v/>
      </c>
      <c r="P178" s="34" t="n"/>
      <c r="Q178" s="34" t="n"/>
    </row>
    <row r="179">
      <c r="A179" s="34" t="n"/>
      <c r="B179" s="34" t="n"/>
      <c r="C179" s="34" t="n"/>
      <c r="D179" s="35" t="n"/>
      <c r="E179" s="34" t="n"/>
      <c r="F179" s="34" t="n"/>
      <c r="G179" s="36" t="n"/>
      <c r="H179" s="36" t="n"/>
      <c r="I179" s="36" t="n"/>
      <c r="J179" s="37">
        <f>IF(OR(H179="",I179="",I179=0),"",(I179-H179)/I179)</f>
        <v/>
      </c>
      <c r="K179" s="34" t="n"/>
      <c r="L179" s="34" t="n"/>
      <c r="M179">
        <f>IF(J179="","",IF(J179&gt;=0.66,5,IF(J179&gt;=0.5,4,IF(J179&gt;=0.4,3,IF(J179&gt;=0.25,2,1)))))</f>
        <v/>
      </c>
      <c r="N179">
        <f>IF(K179="","",IF(K179&lt;=100,5,IF(K179&lt;=250,4,IF(K179&lt;=500,3,IF(K179&lt;=1000,2,1)))))</f>
        <v/>
      </c>
      <c r="O179">
        <f>IF(OR(E179="",F179="",M179="",N179=""),"",E179+(6-F179)+M179+N179-IF(L179="Yes",2,0))</f>
        <v/>
      </c>
      <c r="P179" s="34" t="n"/>
      <c r="Q179" s="34" t="n"/>
    </row>
    <row r="180">
      <c r="A180" s="34" t="n"/>
      <c r="B180" s="34" t="n"/>
      <c r="C180" s="34" t="n"/>
      <c r="D180" s="35" t="n"/>
      <c r="E180" s="34" t="n"/>
      <c r="F180" s="34" t="n"/>
      <c r="G180" s="36" t="n"/>
      <c r="H180" s="36" t="n"/>
      <c r="I180" s="36" t="n"/>
      <c r="J180" s="37">
        <f>IF(OR(H180="",I180="",I180=0),"",(I180-H180)/I180)</f>
        <v/>
      </c>
      <c r="K180" s="34" t="n"/>
      <c r="L180" s="34" t="n"/>
      <c r="M180">
        <f>IF(J180="","",IF(J180&gt;=0.66,5,IF(J180&gt;=0.5,4,IF(J180&gt;=0.4,3,IF(J180&gt;=0.25,2,1)))))</f>
        <v/>
      </c>
      <c r="N180">
        <f>IF(K180="","",IF(K180&lt;=100,5,IF(K180&lt;=250,4,IF(K180&lt;=500,3,IF(K180&lt;=1000,2,1)))))</f>
        <v/>
      </c>
      <c r="O180">
        <f>IF(OR(E180="",F180="",M180="",N180=""),"",E180+(6-F180)+M180+N180-IF(L180="Yes",2,0))</f>
        <v/>
      </c>
      <c r="P180" s="34" t="n"/>
      <c r="Q180" s="34" t="n"/>
    </row>
    <row r="181">
      <c r="A181" s="34" t="n"/>
      <c r="B181" s="34" t="n"/>
      <c r="C181" s="34" t="n"/>
      <c r="D181" s="35" t="n"/>
      <c r="E181" s="34" t="n"/>
      <c r="F181" s="34" t="n"/>
      <c r="G181" s="36" t="n"/>
      <c r="H181" s="36" t="n"/>
      <c r="I181" s="36" t="n"/>
      <c r="J181" s="37">
        <f>IF(OR(H181="",I181="",I181=0),"",(I181-H181)/I181)</f>
        <v/>
      </c>
      <c r="K181" s="34" t="n"/>
      <c r="L181" s="34" t="n"/>
      <c r="M181">
        <f>IF(J181="","",IF(J181&gt;=0.66,5,IF(J181&gt;=0.5,4,IF(J181&gt;=0.4,3,IF(J181&gt;=0.25,2,1)))))</f>
        <v/>
      </c>
      <c r="N181">
        <f>IF(K181="","",IF(K181&lt;=100,5,IF(K181&lt;=250,4,IF(K181&lt;=500,3,IF(K181&lt;=1000,2,1)))))</f>
        <v/>
      </c>
      <c r="O181">
        <f>IF(OR(E181="",F181="",M181="",N181=""),"",E181+(6-F181)+M181+N181-IF(L181="Yes",2,0))</f>
        <v/>
      </c>
      <c r="P181" s="34" t="n"/>
      <c r="Q181" s="34" t="n"/>
    </row>
    <row r="182">
      <c r="A182" s="34" t="n"/>
      <c r="B182" s="34" t="n"/>
      <c r="C182" s="34" t="n"/>
      <c r="D182" s="35" t="n"/>
      <c r="E182" s="34" t="n"/>
      <c r="F182" s="34" t="n"/>
      <c r="G182" s="36" t="n"/>
      <c r="H182" s="36" t="n"/>
      <c r="I182" s="36" t="n"/>
      <c r="J182" s="37">
        <f>IF(OR(H182="",I182="",I182=0),"",(I182-H182)/I182)</f>
        <v/>
      </c>
      <c r="K182" s="34" t="n"/>
      <c r="L182" s="34" t="n"/>
      <c r="M182">
        <f>IF(J182="","",IF(J182&gt;=0.66,5,IF(J182&gt;=0.5,4,IF(J182&gt;=0.4,3,IF(J182&gt;=0.25,2,1)))))</f>
        <v/>
      </c>
      <c r="N182">
        <f>IF(K182="","",IF(K182&lt;=100,5,IF(K182&lt;=250,4,IF(K182&lt;=500,3,IF(K182&lt;=1000,2,1)))))</f>
        <v/>
      </c>
      <c r="O182">
        <f>IF(OR(E182="",F182="",M182="",N182=""),"",E182+(6-F182)+M182+N182-IF(L182="Yes",2,0))</f>
        <v/>
      </c>
      <c r="P182" s="34" t="n"/>
      <c r="Q182" s="34" t="n"/>
    </row>
    <row r="183">
      <c r="A183" s="34" t="n"/>
      <c r="B183" s="34" t="n"/>
      <c r="C183" s="34" t="n"/>
      <c r="D183" s="35" t="n"/>
      <c r="E183" s="34" t="n"/>
      <c r="F183" s="34" t="n"/>
      <c r="G183" s="36" t="n"/>
      <c r="H183" s="36" t="n"/>
      <c r="I183" s="36" t="n"/>
      <c r="J183" s="37">
        <f>IF(OR(H183="",I183="",I183=0),"",(I183-H183)/I183)</f>
        <v/>
      </c>
      <c r="K183" s="34" t="n"/>
      <c r="L183" s="34" t="n"/>
      <c r="M183">
        <f>IF(J183="","",IF(J183&gt;=0.66,5,IF(J183&gt;=0.5,4,IF(J183&gt;=0.4,3,IF(J183&gt;=0.25,2,1)))))</f>
        <v/>
      </c>
      <c r="N183">
        <f>IF(K183="","",IF(K183&lt;=100,5,IF(K183&lt;=250,4,IF(K183&lt;=500,3,IF(K183&lt;=1000,2,1)))))</f>
        <v/>
      </c>
      <c r="O183">
        <f>IF(OR(E183="",F183="",M183="",N183=""),"",E183+(6-F183)+M183+N183-IF(L183="Yes",2,0))</f>
        <v/>
      </c>
      <c r="P183" s="34" t="n"/>
      <c r="Q183" s="34" t="n"/>
    </row>
    <row r="184">
      <c r="A184" s="34" t="n"/>
      <c r="B184" s="34" t="n"/>
      <c r="C184" s="34" t="n"/>
      <c r="D184" s="35" t="n"/>
      <c r="E184" s="34" t="n"/>
      <c r="F184" s="34" t="n"/>
      <c r="G184" s="36" t="n"/>
      <c r="H184" s="36" t="n"/>
      <c r="I184" s="36" t="n"/>
      <c r="J184" s="37">
        <f>IF(OR(H184="",I184="",I184=0),"",(I184-H184)/I184)</f>
        <v/>
      </c>
      <c r="K184" s="34" t="n"/>
      <c r="L184" s="34" t="n"/>
      <c r="M184">
        <f>IF(J184="","",IF(J184&gt;=0.66,5,IF(J184&gt;=0.5,4,IF(J184&gt;=0.4,3,IF(J184&gt;=0.25,2,1)))))</f>
        <v/>
      </c>
      <c r="N184">
        <f>IF(K184="","",IF(K184&lt;=100,5,IF(K184&lt;=250,4,IF(K184&lt;=500,3,IF(K184&lt;=1000,2,1)))))</f>
        <v/>
      </c>
      <c r="O184">
        <f>IF(OR(E184="",F184="",M184="",N184=""),"",E184+(6-F184)+M184+N184-IF(L184="Yes",2,0))</f>
        <v/>
      </c>
      <c r="P184" s="34" t="n"/>
      <c r="Q184" s="34" t="n"/>
    </row>
    <row r="185">
      <c r="A185" s="34" t="n"/>
      <c r="B185" s="34" t="n"/>
      <c r="C185" s="34" t="n"/>
      <c r="D185" s="35" t="n"/>
      <c r="E185" s="34" t="n"/>
      <c r="F185" s="34" t="n"/>
      <c r="G185" s="36" t="n"/>
      <c r="H185" s="36" t="n"/>
      <c r="I185" s="36" t="n"/>
      <c r="J185" s="37">
        <f>IF(OR(H185="",I185="",I185=0),"",(I185-H185)/I185)</f>
        <v/>
      </c>
      <c r="K185" s="34" t="n"/>
      <c r="L185" s="34" t="n"/>
      <c r="M185">
        <f>IF(J185="","",IF(J185&gt;=0.66,5,IF(J185&gt;=0.5,4,IF(J185&gt;=0.4,3,IF(J185&gt;=0.25,2,1)))))</f>
        <v/>
      </c>
      <c r="N185">
        <f>IF(K185="","",IF(K185&lt;=100,5,IF(K185&lt;=250,4,IF(K185&lt;=500,3,IF(K185&lt;=1000,2,1)))))</f>
        <v/>
      </c>
      <c r="O185">
        <f>IF(OR(E185="",F185="",M185="",N185=""),"",E185+(6-F185)+M185+N185-IF(L185="Yes",2,0))</f>
        <v/>
      </c>
      <c r="P185" s="34" t="n"/>
      <c r="Q185" s="34" t="n"/>
    </row>
    <row r="186">
      <c r="A186" s="34" t="n"/>
      <c r="B186" s="34" t="n"/>
      <c r="C186" s="34" t="n"/>
      <c r="D186" s="35" t="n"/>
      <c r="E186" s="34" t="n"/>
      <c r="F186" s="34" t="n"/>
      <c r="G186" s="36" t="n"/>
      <c r="H186" s="36" t="n"/>
      <c r="I186" s="36" t="n"/>
      <c r="J186" s="37">
        <f>IF(OR(H186="",I186="",I186=0),"",(I186-H186)/I186)</f>
        <v/>
      </c>
      <c r="K186" s="34" t="n"/>
      <c r="L186" s="34" t="n"/>
      <c r="M186">
        <f>IF(J186="","",IF(J186&gt;=0.66,5,IF(J186&gt;=0.5,4,IF(J186&gt;=0.4,3,IF(J186&gt;=0.25,2,1)))))</f>
        <v/>
      </c>
      <c r="N186">
        <f>IF(K186="","",IF(K186&lt;=100,5,IF(K186&lt;=250,4,IF(K186&lt;=500,3,IF(K186&lt;=1000,2,1)))))</f>
        <v/>
      </c>
      <c r="O186">
        <f>IF(OR(E186="",F186="",M186="",N186=""),"",E186+(6-F186)+M186+N186-IF(L186="Yes",2,0))</f>
        <v/>
      </c>
      <c r="P186" s="34" t="n"/>
      <c r="Q186" s="34" t="n"/>
    </row>
    <row r="187">
      <c r="A187" s="34" t="n"/>
      <c r="B187" s="34" t="n"/>
      <c r="C187" s="34" t="n"/>
      <c r="D187" s="35" t="n"/>
      <c r="E187" s="34" t="n"/>
      <c r="F187" s="34" t="n"/>
      <c r="G187" s="36" t="n"/>
      <c r="H187" s="36" t="n"/>
      <c r="I187" s="36" t="n"/>
      <c r="J187" s="37">
        <f>IF(OR(H187="",I187="",I187=0),"",(I187-H187)/I187)</f>
        <v/>
      </c>
      <c r="K187" s="34" t="n"/>
      <c r="L187" s="34" t="n"/>
      <c r="M187">
        <f>IF(J187="","",IF(J187&gt;=0.66,5,IF(J187&gt;=0.5,4,IF(J187&gt;=0.4,3,IF(J187&gt;=0.25,2,1)))))</f>
        <v/>
      </c>
      <c r="N187">
        <f>IF(K187="","",IF(K187&lt;=100,5,IF(K187&lt;=250,4,IF(K187&lt;=500,3,IF(K187&lt;=1000,2,1)))))</f>
        <v/>
      </c>
      <c r="O187">
        <f>IF(OR(E187="",F187="",M187="",N187=""),"",E187+(6-F187)+M187+N187-IF(L187="Yes",2,0))</f>
        <v/>
      </c>
      <c r="P187" s="34" t="n"/>
      <c r="Q187" s="34" t="n"/>
    </row>
    <row r="188">
      <c r="A188" s="34" t="n"/>
      <c r="B188" s="34" t="n"/>
      <c r="C188" s="34" t="n"/>
      <c r="D188" s="35" t="n"/>
      <c r="E188" s="34" t="n"/>
      <c r="F188" s="34" t="n"/>
      <c r="G188" s="36" t="n"/>
      <c r="H188" s="36" t="n"/>
      <c r="I188" s="36" t="n"/>
      <c r="J188" s="37">
        <f>IF(OR(H188="",I188="",I188=0),"",(I188-H188)/I188)</f>
        <v/>
      </c>
      <c r="K188" s="34" t="n"/>
      <c r="L188" s="34" t="n"/>
      <c r="M188">
        <f>IF(J188="","",IF(J188&gt;=0.66,5,IF(J188&gt;=0.5,4,IF(J188&gt;=0.4,3,IF(J188&gt;=0.25,2,1)))))</f>
        <v/>
      </c>
      <c r="N188">
        <f>IF(K188="","",IF(K188&lt;=100,5,IF(K188&lt;=250,4,IF(K188&lt;=500,3,IF(K188&lt;=1000,2,1)))))</f>
        <v/>
      </c>
      <c r="O188">
        <f>IF(OR(E188="",F188="",M188="",N188=""),"",E188+(6-F188)+M188+N188-IF(L188="Yes",2,0))</f>
        <v/>
      </c>
      <c r="P188" s="34" t="n"/>
      <c r="Q188" s="34" t="n"/>
    </row>
    <row r="189">
      <c r="A189" s="34" t="n"/>
      <c r="B189" s="34" t="n"/>
      <c r="C189" s="34" t="n"/>
      <c r="D189" s="35" t="n"/>
      <c r="E189" s="34" t="n"/>
      <c r="F189" s="34" t="n"/>
      <c r="G189" s="36" t="n"/>
      <c r="H189" s="36" t="n"/>
      <c r="I189" s="36" t="n"/>
      <c r="J189" s="37">
        <f>IF(OR(H189="",I189="",I189=0),"",(I189-H189)/I189)</f>
        <v/>
      </c>
      <c r="K189" s="34" t="n"/>
      <c r="L189" s="34" t="n"/>
      <c r="M189">
        <f>IF(J189="","",IF(J189&gt;=0.66,5,IF(J189&gt;=0.5,4,IF(J189&gt;=0.4,3,IF(J189&gt;=0.25,2,1)))))</f>
        <v/>
      </c>
      <c r="N189">
        <f>IF(K189="","",IF(K189&lt;=100,5,IF(K189&lt;=250,4,IF(K189&lt;=500,3,IF(K189&lt;=1000,2,1)))))</f>
        <v/>
      </c>
      <c r="O189">
        <f>IF(OR(E189="",F189="",M189="",N189=""),"",E189+(6-F189)+M189+N189-IF(L189="Yes",2,0))</f>
        <v/>
      </c>
      <c r="P189" s="34" t="n"/>
      <c r="Q189" s="34" t="n"/>
    </row>
    <row r="190">
      <c r="A190" s="34" t="n"/>
      <c r="B190" s="34" t="n"/>
      <c r="C190" s="34" t="n"/>
      <c r="D190" s="35" t="n"/>
      <c r="E190" s="34" t="n"/>
      <c r="F190" s="34" t="n"/>
      <c r="G190" s="36" t="n"/>
      <c r="H190" s="36" t="n"/>
      <c r="I190" s="36" t="n"/>
      <c r="J190" s="37">
        <f>IF(OR(H190="",I190="",I190=0),"",(I190-H190)/I190)</f>
        <v/>
      </c>
      <c r="K190" s="34" t="n"/>
      <c r="L190" s="34" t="n"/>
      <c r="M190">
        <f>IF(J190="","",IF(J190&gt;=0.66,5,IF(J190&gt;=0.5,4,IF(J190&gt;=0.4,3,IF(J190&gt;=0.25,2,1)))))</f>
        <v/>
      </c>
      <c r="N190">
        <f>IF(K190="","",IF(K190&lt;=100,5,IF(K190&lt;=250,4,IF(K190&lt;=500,3,IF(K190&lt;=1000,2,1)))))</f>
        <v/>
      </c>
      <c r="O190">
        <f>IF(OR(E190="",F190="",M190="",N190=""),"",E190+(6-F190)+M190+N190-IF(L190="Yes",2,0))</f>
        <v/>
      </c>
      <c r="P190" s="34" t="n"/>
      <c r="Q190" s="34" t="n"/>
    </row>
    <row r="191">
      <c r="A191" s="34" t="n"/>
      <c r="B191" s="34" t="n"/>
      <c r="C191" s="34" t="n"/>
      <c r="D191" s="35" t="n"/>
      <c r="E191" s="34" t="n"/>
      <c r="F191" s="34" t="n"/>
      <c r="G191" s="36" t="n"/>
      <c r="H191" s="36" t="n"/>
      <c r="I191" s="36" t="n"/>
      <c r="J191" s="37">
        <f>IF(OR(H191="",I191="",I191=0),"",(I191-H191)/I191)</f>
        <v/>
      </c>
      <c r="K191" s="34" t="n"/>
      <c r="L191" s="34" t="n"/>
      <c r="M191">
        <f>IF(J191="","",IF(J191&gt;=0.66,5,IF(J191&gt;=0.5,4,IF(J191&gt;=0.4,3,IF(J191&gt;=0.25,2,1)))))</f>
        <v/>
      </c>
      <c r="N191">
        <f>IF(K191="","",IF(K191&lt;=100,5,IF(K191&lt;=250,4,IF(K191&lt;=500,3,IF(K191&lt;=1000,2,1)))))</f>
        <v/>
      </c>
      <c r="O191">
        <f>IF(OR(E191="",F191="",M191="",N191=""),"",E191+(6-F191)+M191+N191-IF(L191="Yes",2,0))</f>
        <v/>
      </c>
      <c r="P191" s="34" t="n"/>
      <c r="Q191" s="34" t="n"/>
    </row>
    <row r="192">
      <c r="A192" s="34" t="n"/>
      <c r="B192" s="34" t="n"/>
      <c r="C192" s="34" t="n"/>
      <c r="D192" s="35" t="n"/>
      <c r="E192" s="34" t="n"/>
      <c r="F192" s="34" t="n"/>
      <c r="G192" s="36" t="n"/>
      <c r="H192" s="36" t="n"/>
      <c r="I192" s="36" t="n"/>
      <c r="J192" s="37">
        <f>IF(OR(H192="",I192="",I192=0),"",(I192-H192)/I192)</f>
        <v/>
      </c>
      <c r="K192" s="34" t="n"/>
      <c r="L192" s="34" t="n"/>
      <c r="M192">
        <f>IF(J192="","",IF(J192&gt;=0.66,5,IF(J192&gt;=0.5,4,IF(J192&gt;=0.4,3,IF(J192&gt;=0.25,2,1)))))</f>
        <v/>
      </c>
      <c r="N192">
        <f>IF(K192="","",IF(K192&lt;=100,5,IF(K192&lt;=250,4,IF(K192&lt;=500,3,IF(K192&lt;=1000,2,1)))))</f>
        <v/>
      </c>
      <c r="O192">
        <f>IF(OR(E192="",F192="",M192="",N192=""),"",E192+(6-F192)+M192+N192-IF(L192="Yes",2,0))</f>
        <v/>
      </c>
      <c r="P192" s="34" t="n"/>
      <c r="Q192" s="34" t="n"/>
    </row>
    <row r="193">
      <c r="A193" s="34" t="n"/>
      <c r="B193" s="34" t="n"/>
      <c r="C193" s="34" t="n"/>
      <c r="D193" s="35" t="n"/>
      <c r="E193" s="34" t="n"/>
      <c r="F193" s="34" t="n"/>
      <c r="G193" s="36" t="n"/>
      <c r="H193" s="36" t="n"/>
      <c r="I193" s="36" t="n"/>
      <c r="J193" s="37">
        <f>IF(OR(H193="",I193="",I193=0),"",(I193-H193)/I193)</f>
        <v/>
      </c>
      <c r="K193" s="34" t="n"/>
      <c r="L193" s="34" t="n"/>
      <c r="M193">
        <f>IF(J193="","",IF(J193&gt;=0.66,5,IF(J193&gt;=0.5,4,IF(J193&gt;=0.4,3,IF(J193&gt;=0.25,2,1)))))</f>
        <v/>
      </c>
      <c r="N193">
        <f>IF(K193="","",IF(K193&lt;=100,5,IF(K193&lt;=250,4,IF(K193&lt;=500,3,IF(K193&lt;=1000,2,1)))))</f>
        <v/>
      </c>
      <c r="O193">
        <f>IF(OR(E193="",F193="",M193="",N193=""),"",E193+(6-F193)+M193+N193-IF(L193="Yes",2,0))</f>
        <v/>
      </c>
      <c r="P193" s="34" t="n"/>
      <c r="Q193" s="34" t="n"/>
    </row>
    <row r="194">
      <c r="A194" s="34" t="n"/>
      <c r="B194" s="34" t="n"/>
      <c r="C194" s="34" t="n"/>
      <c r="D194" s="35" t="n"/>
      <c r="E194" s="34" t="n"/>
      <c r="F194" s="34" t="n"/>
      <c r="G194" s="36" t="n"/>
      <c r="H194" s="36" t="n"/>
      <c r="I194" s="36" t="n"/>
      <c r="J194" s="37">
        <f>IF(OR(H194="",I194="",I194=0),"",(I194-H194)/I194)</f>
        <v/>
      </c>
      <c r="K194" s="34" t="n"/>
      <c r="L194" s="34" t="n"/>
      <c r="M194">
        <f>IF(J194="","",IF(J194&gt;=0.66,5,IF(J194&gt;=0.5,4,IF(J194&gt;=0.4,3,IF(J194&gt;=0.25,2,1)))))</f>
        <v/>
      </c>
      <c r="N194">
        <f>IF(K194="","",IF(K194&lt;=100,5,IF(K194&lt;=250,4,IF(K194&lt;=500,3,IF(K194&lt;=1000,2,1)))))</f>
        <v/>
      </c>
      <c r="O194">
        <f>IF(OR(E194="",F194="",M194="",N194=""),"",E194+(6-F194)+M194+N194-IF(L194="Yes",2,0))</f>
        <v/>
      </c>
      <c r="P194" s="34" t="n"/>
      <c r="Q194" s="34" t="n"/>
    </row>
    <row r="195">
      <c r="A195" s="34" t="n"/>
      <c r="B195" s="34" t="n"/>
      <c r="C195" s="34" t="n"/>
      <c r="D195" s="35" t="n"/>
      <c r="E195" s="34" t="n"/>
      <c r="F195" s="34" t="n"/>
      <c r="G195" s="36" t="n"/>
      <c r="H195" s="36" t="n"/>
      <c r="I195" s="36" t="n"/>
      <c r="J195" s="37">
        <f>IF(OR(H195="",I195="",I195=0),"",(I195-H195)/I195)</f>
        <v/>
      </c>
      <c r="K195" s="34" t="n"/>
      <c r="L195" s="34" t="n"/>
      <c r="M195">
        <f>IF(J195="","",IF(J195&gt;=0.66,5,IF(J195&gt;=0.5,4,IF(J195&gt;=0.4,3,IF(J195&gt;=0.25,2,1)))))</f>
        <v/>
      </c>
      <c r="N195">
        <f>IF(K195="","",IF(K195&lt;=100,5,IF(K195&lt;=250,4,IF(K195&lt;=500,3,IF(K195&lt;=1000,2,1)))))</f>
        <v/>
      </c>
      <c r="O195">
        <f>IF(OR(E195="",F195="",M195="",N195=""),"",E195+(6-F195)+M195+N195-IF(L195="Yes",2,0))</f>
        <v/>
      </c>
      <c r="P195" s="34" t="n"/>
      <c r="Q195" s="34" t="n"/>
    </row>
    <row r="196">
      <c r="A196" s="34" t="n"/>
      <c r="B196" s="34" t="n"/>
      <c r="C196" s="34" t="n"/>
      <c r="D196" s="35" t="n"/>
      <c r="E196" s="34" t="n"/>
      <c r="F196" s="34" t="n"/>
      <c r="G196" s="36" t="n"/>
      <c r="H196" s="36" t="n"/>
      <c r="I196" s="36" t="n"/>
      <c r="J196" s="37">
        <f>IF(OR(H196="",I196="",I196=0),"",(I196-H196)/I196)</f>
        <v/>
      </c>
      <c r="K196" s="34" t="n"/>
      <c r="L196" s="34" t="n"/>
      <c r="M196">
        <f>IF(J196="","",IF(J196&gt;=0.66,5,IF(J196&gt;=0.5,4,IF(J196&gt;=0.4,3,IF(J196&gt;=0.25,2,1)))))</f>
        <v/>
      </c>
      <c r="N196">
        <f>IF(K196="","",IF(K196&lt;=100,5,IF(K196&lt;=250,4,IF(K196&lt;=500,3,IF(K196&lt;=1000,2,1)))))</f>
        <v/>
      </c>
      <c r="O196">
        <f>IF(OR(E196="",F196="",M196="",N196=""),"",E196+(6-F196)+M196+N196-IF(L196="Yes",2,0))</f>
        <v/>
      </c>
      <c r="P196" s="34" t="n"/>
      <c r="Q196" s="34" t="n"/>
    </row>
    <row r="197">
      <c r="A197" s="34" t="n"/>
      <c r="B197" s="34" t="n"/>
      <c r="C197" s="34" t="n"/>
      <c r="D197" s="35" t="n"/>
      <c r="E197" s="34" t="n"/>
      <c r="F197" s="34" t="n"/>
      <c r="G197" s="36" t="n"/>
      <c r="H197" s="36" t="n"/>
      <c r="I197" s="36" t="n"/>
      <c r="J197" s="37">
        <f>IF(OR(H197="",I197="",I197=0),"",(I197-H197)/I197)</f>
        <v/>
      </c>
      <c r="K197" s="34" t="n"/>
      <c r="L197" s="34" t="n"/>
      <c r="M197">
        <f>IF(J197="","",IF(J197&gt;=0.66,5,IF(J197&gt;=0.5,4,IF(J197&gt;=0.4,3,IF(J197&gt;=0.25,2,1)))))</f>
        <v/>
      </c>
      <c r="N197">
        <f>IF(K197="","",IF(K197&lt;=100,5,IF(K197&lt;=250,4,IF(K197&lt;=500,3,IF(K197&lt;=1000,2,1)))))</f>
        <v/>
      </c>
      <c r="O197">
        <f>IF(OR(E197="",F197="",M197="",N197=""),"",E197+(6-F197)+M197+N197-IF(L197="Yes",2,0))</f>
        <v/>
      </c>
      <c r="P197" s="34" t="n"/>
      <c r="Q197" s="34" t="n"/>
    </row>
    <row r="198">
      <c r="A198" s="34" t="n"/>
      <c r="B198" s="34" t="n"/>
      <c r="C198" s="34" t="n"/>
      <c r="D198" s="35" t="n"/>
      <c r="E198" s="34" t="n"/>
      <c r="F198" s="34" t="n"/>
      <c r="G198" s="36" t="n"/>
      <c r="H198" s="36" t="n"/>
      <c r="I198" s="36" t="n"/>
      <c r="J198" s="37">
        <f>IF(OR(H198="",I198="",I198=0),"",(I198-H198)/I198)</f>
        <v/>
      </c>
      <c r="K198" s="34" t="n"/>
      <c r="L198" s="34" t="n"/>
      <c r="M198">
        <f>IF(J198="","",IF(J198&gt;=0.66,5,IF(J198&gt;=0.5,4,IF(J198&gt;=0.4,3,IF(J198&gt;=0.25,2,1)))))</f>
        <v/>
      </c>
      <c r="N198">
        <f>IF(K198="","",IF(K198&lt;=100,5,IF(K198&lt;=250,4,IF(K198&lt;=500,3,IF(K198&lt;=1000,2,1)))))</f>
        <v/>
      </c>
      <c r="O198">
        <f>IF(OR(E198="",F198="",M198="",N198=""),"",E198+(6-F198)+M198+N198-IF(L198="Yes",2,0))</f>
        <v/>
      </c>
      <c r="P198" s="34" t="n"/>
      <c r="Q198" s="34" t="n"/>
    </row>
    <row r="199">
      <c r="A199" s="34" t="n"/>
      <c r="B199" s="34" t="n"/>
      <c r="C199" s="34" t="n"/>
      <c r="D199" s="35" t="n"/>
      <c r="E199" s="34" t="n"/>
      <c r="F199" s="34" t="n"/>
      <c r="G199" s="36" t="n"/>
      <c r="H199" s="36" t="n"/>
      <c r="I199" s="36" t="n"/>
      <c r="J199" s="37">
        <f>IF(OR(H199="",I199="",I199=0),"",(I199-H199)/I199)</f>
        <v/>
      </c>
      <c r="K199" s="34" t="n"/>
      <c r="L199" s="34" t="n"/>
      <c r="M199">
        <f>IF(J199="","",IF(J199&gt;=0.66,5,IF(J199&gt;=0.5,4,IF(J199&gt;=0.4,3,IF(J199&gt;=0.25,2,1)))))</f>
        <v/>
      </c>
      <c r="N199">
        <f>IF(K199="","",IF(K199&lt;=100,5,IF(K199&lt;=250,4,IF(K199&lt;=500,3,IF(K199&lt;=1000,2,1)))))</f>
        <v/>
      </c>
      <c r="O199">
        <f>IF(OR(E199="",F199="",M199="",N199=""),"",E199+(6-F199)+M199+N199-IF(L199="Yes",2,0))</f>
        <v/>
      </c>
      <c r="P199" s="34" t="n"/>
      <c r="Q199" s="34" t="n"/>
    </row>
    <row r="200">
      <c r="A200" s="34" t="n"/>
      <c r="B200" s="34" t="n"/>
      <c r="C200" s="34" t="n"/>
      <c r="D200" s="35" t="n"/>
      <c r="E200" s="34" t="n"/>
      <c r="F200" s="34" t="n"/>
      <c r="G200" s="36" t="n"/>
      <c r="H200" s="36" t="n"/>
      <c r="I200" s="36" t="n"/>
      <c r="J200" s="37">
        <f>IF(OR(H200="",I200="",I200=0),"",(I200-H200)/I200)</f>
        <v/>
      </c>
      <c r="K200" s="34" t="n"/>
      <c r="L200" s="34" t="n"/>
      <c r="M200">
        <f>IF(J200="","",IF(J200&gt;=0.66,5,IF(J200&gt;=0.5,4,IF(J200&gt;=0.4,3,IF(J200&gt;=0.25,2,1)))))</f>
        <v/>
      </c>
      <c r="N200">
        <f>IF(K200="","",IF(K200&lt;=100,5,IF(K200&lt;=250,4,IF(K200&lt;=500,3,IF(K200&lt;=1000,2,1)))))</f>
        <v/>
      </c>
      <c r="O200">
        <f>IF(OR(E200="",F200="",M200="",N200=""),"",E200+(6-F200)+M200+N200-IF(L200="Yes",2,0))</f>
        <v/>
      </c>
      <c r="P200" s="34" t="n"/>
      <c r="Q200" s="34" t="n"/>
    </row>
    <row r="201">
      <c r="A201" s="34" t="n"/>
      <c r="B201" s="34" t="n"/>
      <c r="C201" s="34" t="n"/>
      <c r="D201" s="35" t="n"/>
      <c r="E201" s="34" t="n"/>
      <c r="F201" s="34" t="n"/>
      <c r="G201" s="36" t="n"/>
      <c r="H201" s="36" t="n"/>
      <c r="I201" s="36" t="n"/>
      <c r="J201" s="37">
        <f>IF(OR(H201="",I201="",I201=0),"",(I201-H201)/I201)</f>
        <v/>
      </c>
      <c r="K201" s="34" t="n"/>
      <c r="L201" s="34" t="n"/>
      <c r="M201">
        <f>IF(J201="","",IF(J201&gt;=0.66,5,IF(J201&gt;=0.5,4,IF(J201&gt;=0.4,3,IF(J201&gt;=0.25,2,1)))))</f>
        <v/>
      </c>
      <c r="N201">
        <f>IF(K201="","",IF(K201&lt;=100,5,IF(K201&lt;=250,4,IF(K201&lt;=500,3,IF(K201&lt;=1000,2,1)))))</f>
        <v/>
      </c>
      <c r="O201">
        <f>IF(OR(E201="",F201="",M201="",N201=""),"",E201+(6-F201)+M201+N201-IF(L201="Yes",2,0))</f>
        <v/>
      </c>
      <c r="P201" s="34" t="n"/>
      <c r="Q201" s="34" t="n"/>
    </row>
  </sheetData>
  <conditionalFormatting sqref="O2:O201">
    <cfRule type="cellIs" priority="1" operator="greaterThanOrEqual" dxfId="0">
      <formula>15</formula>
    </cfRule>
    <cfRule type="cellIs" priority="2" operator="lessThan" dxfId="4">
      <formula>10</formula>
    </cfRule>
  </conditionalFormatting>
  <dataValidations count="5">
    <dataValidation sqref="B2:B201" showDropDown="0" showInputMessage="0" showErrorMessage="0" allowBlank="1" type="list">
      <formula1>"Helium 10,Google Trends,Amazon best-sellers,Jumia best-sellers,TikTok trend,Instagram vendors,Our network,1688 hot items,Other"</formula1>
    </dataValidation>
    <dataValidation sqref="C2:C201" showDropDown="0" showInputMessage="0" showErrorMessage="0" allowBlank="1" type="list">
      <formula1>"US,Nigeria,Both"</formula1>
    </dataValidation>
    <dataValidation sqref="L2:L201" showDropDown="0" showInputMessage="0" showErrorMessage="0" allowBlank="1" type="list">
      <formula1>"No,Yes"</formula1>
    </dataValidation>
    <dataValidation sqref="P2:P201" showDropDown="0" showInputMessage="0" showErrorMessage="0" allowBlank="1" type="list">
      <formula1>"Test,Maybe,Drop"</formula1>
    </dataValidation>
    <dataValidation sqref="E2:F201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70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Settings</t>
        </is>
      </c>
    </row>
    <row r="2"/>
    <row r="3">
      <c r="A3" s="4" t="inlineStr">
        <is>
          <t>Exchange rate (₦ per US$1)</t>
        </is>
      </c>
      <c r="B3" s="38" t="n">
        <v>1500</v>
      </c>
      <c r="C3" s="39" t="inlineStr">
        <is>
          <t>Example value. Update with the rate you actually pay (virtual dollar card or agent rate).</t>
        </is>
      </c>
    </row>
    <row r="4">
      <c r="A4" s="4" t="inlineStr">
        <is>
          <t>Default reorder point (units)</t>
        </is>
      </c>
      <c r="B4" s="40" t="n">
        <v>20</v>
      </c>
      <c r="C4" s="39" t="inlineStr">
        <is>
          <t>Used when a product has no reorder point of its own.</t>
        </is>
      </c>
    </row>
    <row r="5"/>
    <row r="6">
      <c r="A6" s="3" t="inlineStr">
        <is>
          <t>Sales channels</t>
        </is>
      </c>
    </row>
    <row r="7">
      <c r="A7" s="10" t="inlineStr">
        <is>
          <t>Channel</t>
        </is>
      </c>
      <c r="B7" s="10" t="inlineStr">
        <is>
          <t>Fee % per sale</t>
        </is>
      </c>
      <c r="C7" s="10" t="inlineStr">
        <is>
          <t>Note</t>
        </is>
      </c>
    </row>
    <row r="8">
      <c r="A8" s="41" t="inlineStr">
        <is>
          <t>Instagram</t>
        </is>
      </c>
      <c r="B8" s="42" t="n">
        <v>0</v>
      </c>
      <c r="C8" s="43" t="inlineStr">
        <is>
          <t>No platform fee on DMs. Ad spend goes in Expenses.</t>
        </is>
      </c>
    </row>
    <row r="9">
      <c r="A9" s="41" t="inlineStr">
        <is>
          <t>WhatsApp</t>
        </is>
      </c>
      <c r="B9" s="42" t="n">
        <v>0</v>
      </c>
      <c r="C9" s="43" t="inlineStr">
        <is>
          <t>No platform fee.</t>
        </is>
      </c>
    </row>
    <row r="10">
      <c r="A10" s="41" t="inlineStr">
        <is>
          <t>TikTok</t>
        </is>
      </c>
      <c r="B10" s="42" t="n">
        <v>0</v>
      </c>
      <c r="C10" s="43" t="inlineStr">
        <is>
          <t>No platform fee on DM sales. Ad spend goes in Expenses.</t>
        </is>
      </c>
    </row>
    <row r="11">
      <c r="A11" s="41" t="inlineStr">
        <is>
          <t>Website</t>
        </is>
      </c>
      <c r="B11" s="42" t="n">
        <v>0.015</v>
      </c>
      <c r="C11" s="43" t="inlineStr">
        <is>
          <t>Example: Paystack local card fee of 1.5% (capped per transaction). Check your processor's current rate.</t>
        </is>
      </c>
    </row>
    <row r="12">
      <c r="A12" s="41" t="inlineStr">
        <is>
          <t>Jumia</t>
        </is>
      </c>
      <c r="B12" s="42" t="n">
        <v>0.1</v>
      </c>
      <c r="C12" s="43" t="inlineStr">
        <is>
          <t>Placeholder. Jumia commission varies by category; check the current rate for yours.</t>
        </is>
      </c>
    </row>
    <row r="13">
      <c r="A13" s="41" t="inlineStr">
        <is>
          <t>Jiji</t>
        </is>
      </c>
      <c r="B13" s="42" t="n">
        <v>0</v>
      </c>
      <c r="C13" s="43" t="inlineStr">
        <is>
          <t>Classifieds: no commission. Paid boosts go in Expenses.</t>
        </is>
      </c>
    </row>
    <row r="14">
      <c r="A14" s="41" t="inlineStr">
        <is>
          <t>Direct</t>
        </is>
      </c>
      <c r="B14" s="42" t="n">
        <v>0</v>
      </c>
      <c r="C14" s="43" t="inlineStr">
        <is>
          <t>Friends, referrals, walk-ins.</t>
        </is>
      </c>
    </row>
    <row r="15">
      <c r="A15" s="41" t="inlineStr">
        <is>
          <t>Other</t>
        </is>
      </c>
      <c r="B15" s="42" t="n">
        <v>0</v>
      </c>
      <c r="C15" s="43" t="inlineStr"/>
    </row>
    <row r="16"/>
    <row r="17"/>
    <row r="18">
      <c r="A18" s="3" t="inlineStr">
        <is>
          <t>Lists used in dropdowns</t>
        </is>
      </c>
      <c r="D18" s="4" t="inlineStr">
        <is>
          <t>Order status</t>
        </is>
      </c>
      <c r="E18" s="4" t="inlineStr">
        <is>
          <t>Payment status</t>
        </is>
      </c>
      <c r="F18" s="4" t="inlineStr">
        <is>
          <t>Expense category</t>
        </is>
      </c>
      <c r="G18" s="4" t="inlineStr">
        <is>
          <t>Stock model</t>
        </is>
      </c>
    </row>
    <row r="19">
      <c r="D19" s="34" t="inlineStr">
        <is>
          <t>New</t>
        </is>
      </c>
      <c r="E19" s="34" t="inlineStr">
        <is>
          <t>Paid</t>
        </is>
      </c>
      <c r="F19" s="34" t="inlineStr">
        <is>
          <t>Ads</t>
        </is>
      </c>
      <c r="G19" s="34" t="inlineStr">
        <is>
          <t>Dropship</t>
        </is>
      </c>
    </row>
    <row r="20">
      <c r="D20" s="34" t="inlineStr">
        <is>
          <t>Awaiting fulfillment</t>
        </is>
      </c>
      <c r="E20" s="34" t="inlineStr">
        <is>
          <t>Pay on delivery</t>
        </is>
      </c>
      <c r="F20" s="34" t="inlineStr">
        <is>
          <t>Samples</t>
        </is>
      </c>
      <c r="G20" s="34" t="inlineStr">
        <is>
          <t>In stock</t>
        </is>
      </c>
    </row>
    <row r="21">
      <c r="D21" s="34" t="inlineStr">
        <is>
          <t>Shipped</t>
        </is>
      </c>
      <c r="E21" s="34" t="inlineStr">
        <is>
          <t>Unpaid</t>
        </is>
      </c>
      <c r="F21" s="34" t="inlineStr">
        <is>
          <t>Packaging</t>
        </is>
      </c>
    </row>
    <row r="22">
      <c r="D22" s="34" t="inlineStr">
        <is>
          <t>Delivered</t>
        </is>
      </c>
      <c r="E22" s="34" t="inlineStr">
        <is>
          <t>Refunded</t>
        </is>
      </c>
      <c r="F22" s="34" t="inlineStr">
        <is>
          <t>Storage / fulfilment</t>
        </is>
      </c>
    </row>
    <row r="23">
      <c r="D23" s="34" t="inlineStr">
        <is>
          <t>Failed delivery</t>
        </is>
      </c>
      <c r="F23" s="34" t="inlineStr">
        <is>
          <t>Software / subscriptions</t>
        </is>
      </c>
    </row>
    <row r="24">
      <c r="D24" s="34" t="inlineStr">
        <is>
          <t>Returned</t>
        </is>
      </c>
      <c r="F24" s="34" t="inlineStr">
        <is>
          <t>Marketplace fees</t>
        </is>
      </c>
    </row>
    <row r="25">
      <c r="D25" s="34" t="inlineStr">
        <is>
          <t>Cancelled</t>
        </is>
      </c>
      <c r="F25" s="34" t="inlineStr">
        <is>
          <t>Delivery (not per order)</t>
        </is>
      </c>
    </row>
    <row r="26">
      <c r="F26" s="34" t="inlineStr">
        <is>
          <t>Other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18" customWidth="1" min="3" max="3"/>
    <col width="22" customWidth="1" min="4" max="4"/>
    <col width="12" customWidth="1" min="5" max="5"/>
    <col width="14" customWidth="1" min="6" max="6"/>
    <col width="13" customWidth="1" min="7" max="7"/>
    <col width="14" customWidth="1" min="8" max="8"/>
    <col width="12" customWidth="1" min="9" max="9"/>
    <col width="14" customWidth="1" min="10" max="10"/>
    <col width="13" customWidth="1" min="11" max="11"/>
    <col width="13" customWidth="1" min="12" max="12"/>
    <col width="10" customWidth="1" min="13" max="13"/>
    <col width="11" customWidth="1" min="14" max="14"/>
    <col width="11" customWidth="1" min="15" max="15"/>
    <col width="13" customWidth="1" min="16" max="16"/>
    <col width="12" customWidth="1" min="17" max="17"/>
    <col width="11" customWidth="1" min="18" max="18"/>
    <col width="13" customWidth="1" min="19" max="19"/>
    <col width="15" customWidth="1" min="20" max="20"/>
  </cols>
  <sheetData>
    <row r="1" ht="30" customHeight="1">
      <c r="A1" s="33" t="inlineStr">
        <is>
          <t>SKU</t>
        </is>
      </c>
      <c r="B1" s="33" t="inlineStr">
        <is>
          <t>Product name</t>
        </is>
      </c>
      <c r="C1" s="33" t="inlineStr">
        <is>
          <t>Supplier</t>
        </is>
      </c>
      <c r="D1" s="33" t="inlineStr">
        <is>
          <t>Supplier link</t>
        </is>
      </c>
      <c r="E1" s="33" t="inlineStr">
        <is>
          <t>Stock model</t>
        </is>
      </c>
      <c r="F1" s="33" t="inlineStr">
        <is>
          <t>Product cost / unit (₦)</t>
        </is>
      </c>
      <c r="G1" s="33" t="inlineStr">
        <is>
          <t>Shipping / unit (₦)</t>
        </is>
      </c>
      <c r="H1" s="33" t="inlineStr">
        <is>
          <t>Duty &amp; clearing / unit (₦)</t>
        </is>
      </c>
      <c r="I1" s="33" t="inlineStr">
        <is>
          <t>Other / unit (₦)</t>
        </is>
      </c>
      <c r="J1" s="33" t="inlineStr">
        <is>
          <t>Landed cost / unit (₦)</t>
        </is>
      </c>
      <c r="K1" s="33" t="inlineStr">
        <is>
          <t>Selling price (₦)</t>
        </is>
      </c>
      <c r="L1" s="33" t="inlineStr">
        <is>
          <t>Profit / unit (₦)</t>
        </is>
      </c>
      <c r="M1" s="33" t="inlineStr">
        <is>
          <t>Margin %</t>
        </is>
      </c>
      <c r="N1" s="33" t="inlineStr">
        <is>
          <t>Opening stock</t>
        </is>
      </c>
      <c r="O1" s="33" t="inlineStr">
        <is>
          <t>Units received</t>
        </is>
      </c>
      <c r="P1" s="33" t="inlineStr">
        <is>
          <t>Units shipped / delivered</t>
        </is>
      </c>
      <c r="Q1" s="33" t="inlineStr">
        <is>
          <t>Units remaining</t>
        </is>
      </c>
      <c r="R1" s="33" t="inlineStr">
        <is>
          <t>Reorder point</t>
        </is>
      </c>
      <c r="S1" s="33" t="inlineStr">
        <is>
          <t>Stock status</t>
        </is>
      </c>
      <c r="T1" s="33" t="inlineStr">
        <is>
          <t>Inventory value (₦)</t>
        </is>
      </c>
    </row>
    <row r="2">
      <c r="A2" s="34" t="inlineStr">
        <is>
          <t>EX-BON-01</t>
        </is>
      </c>
      <c r="B2" s="34" t="inlineStr">
        <is>
          <t>Satin bonnet (black)</t>
        </is>
      </c>
      <c r="C2" s="34" t="inlineStr">
        <is>
          <t>1688 seller A</t>
        </is>
      </c>
      <c r="D2" s="34" t="inlineStr"/>
      <c r="E2" s="34" t="inlineStr">
        <is>
          <t>Dropship</t>
        </is>
      </c>
      <c r="F2" s="36" t="n">
        <v>1400</v>
      </c>
      <c r="G2" s="36" t="n">
        <v>300</v>
      </c>
      <c r="H2" s="36" t="n">
        <v>150</v>
      </c>
      <c r="I2" s="36" t="n">
        <v>100</v>
      </c>
      <c r="J2" s="44">
        <f>IF(A2="","",SUM(F2:I2))</f>
        <v/>
      </c>
      <c r="K2" s="36" t="n">
        <v>7500</v>
      </c>
      <c r="L2" s="44">
        <f>IF(OR(A2="",K2=""),"",K2-J2)</f>
        <v/>
      </c>
      <c r="M2" s="37">
        <f>IF(OR(A2="",K2="",K2=0),"",L2/K2)</f>
        <v/>
      </c>
      <c r="N2" s="34" t="n">
        <v>0</v>
      </c>
      <c r="O2">
        <f>IF(A2="","",SUMIFS('Stock In'!$C$2:$C$501,'Stock In'!$B$2:$B$501,A2))</f>
        <v/>
      </c>
      <c r="P2">
        <f>IF(A2="","",SUMIFS(Orders!$H$2:$H$501,Orders!$G$2:$G$501,A2,Orders!$K$2:$K$501,"Shipped")+SUMIFS(Orders!$H$2:$H$501,Orders!$G$2:$G$501,A2,Orders!$K$2:$K$501,"Delivered"))</f>
        <v/>
      </c>
      <c r="Q2">
        <f>IF(OR(A2="",E2="Dropship"),"",N(N2)+N(O2)-N(P2))</f>
        <v/>
      </c>
      <c r="R2" s="34" t="n">
        <v>20</v>
      </c>
      <c r="S2">
        <f>IF(OR(A2="",E2="Dropship"),"",IF(Q2&lt;=IF(R2="",Settings!$B$4,R2),"REORDER","OK"))</f>
        <v/>
      </c>
      <c r="T2" s="44">
        <f>IF(OR(A2="",E2="Dropship",J2=""),"",Q2*J2)</f>
        <v/>
      </c>
    </row>
    <row r="3">
      <c r="A3" s="34" t="inlineStr">
        <is>
          <t>EX-EDG-01</t>
        </is>
      </c>
      <c r="B3" s="34" t="inlineStr">
        <is>
          <t>Edge brush set (3 pcs)</t>
        </is>
      </c>
      <c r="C3" s="34" t="inlineStr">
        <is>
          <t>1688 seller B</t>
        </is>
      </c>
      <c r="D3" s="34" t="inlineStr"/>
      <c r="E3" s="34" t="inlineStr">
        <is>
          <t>In stock</t>
        </is>
      </c>
      <c r="F3" s="36" t="n">
        <v>900</v>
      </c>
      <c r="G3" s="36" t="n">
        <v>250</v>
      </c>
      <c r="H3" s="36" t="n">
        <v>100</v>
      </c>
      <c r="I3" s="36" t="n">
        <v>50</v>
      </c>
      <c r="J3" s="44">
        <f>IF(A3="","",SUM(F3:I3))</f>
        <v/>
      </c>
      <c r="K3" s="36" t="n">
        <v>5000</v>
      </c>
      <c r="L3" s="44">
        <f>IF(OR(A3="",K3=""),"",K3-J3)</f>
        <v/>
      </c>
      <c r="M3" s="37">
        <f>IF(OR(A3="",K3="",K3=0),"",L3/K3)</f>
        <v/>
      </c>
      <c r="N3" s="34" t="n">
        <v>0</v>
      </c>
      <c r="O3">
        <f>IF(A3="","",SUMIFS('Stock In'!$C$2:$C$501,'Stock In'!$B$2:$B$501,A3))</f>
        <v/>
      </c>
      <c r="P3">
        <f>IF(A3="","",SUMIFS(Orders!$H$2:$H$501,Orders!$G$2:$G$501,A3,Orders!$K$2:$K$501,"Shipped")+SUMIFS(Orders!$H$2:$H$501,Orders!$G$2:$G$501,A3,Orders!$K$2:$K$501,"Delivered"))</f>
        <v/>
      </c>
      <c r="Q3">
        <f>IF(OR(A3="",E3="Dropship"),"",N(N3)+N(O3)-N(P3))</f>
        <v/>
      </c>
      <c r="R3" s="34" t="n">
        <v>15</v>
      </c>
      <c r="S3">
        <f>IF(OR(A3="",E3="Dropship"),"",IF(Q3&lt;=IF(R3="",Settings!$B$4,R3),"REORDER","OK"))</f>
        <v/>
      </c>
      <c r="T3" s="44">
        <f>IF(OR(A3="",E3="Dropship",J3=""),"",Q3*J3)</f>
        <v/>
      </c>
    </row>
    <row r="4">
      <c r="A4" s="34" t="inlineStr">
        <is>
          <t>EX-SCR-01</t>
        </is>
      </c>
      <c r="B4" s="34" t="inlineStr">
        <is>
          <t>Silk scrunchies (5 pack)</t>
        </is>
      </c>
      <c r="C4" s="34" t="inlineStr">
        <is>
          <t>1688 seller C</t>
        </is>
      </c>
      <c r="D4" s="34" t="inlineStr"/>
      <c r="E4" s="34" t="inlineStr">
        <is>
          <t>In stock</t>
        </is>
      </c>
      <c r="F4" s="36" t="n">
        <v>1100</v>
      </c>
      <c r="G4" s="36" t="n">
        <v>200</v>
      </c>
      <c r="H4" s="36" t="n">
        <v>120</v>
      </c>
      <c r="I4" s="36" t="n">
        <v>80</v>
      </c>
      <c r="J4" s="44">
        <f>IF(A4="","",SUM(F4:I4))</f>
        <v/>
      </c>
      <c r="K4" s="36" t="n">
        <v>6000</v>
      </c>
      <c r="L4" s="44">
        <f>IF(OR(A4="",K4=""),"",K4-J4)</f>
        <v/>
      </c>
      <c r="M4" s="37">
        <f>IF(OR(A4="",K4="",K4=0),"",L4/K4)</f>
        <v/>
      </c>
      <c r="N4" s="34" t="n">
        <v>10</v>
      </c>
      <c r="O4">
        <f>IF(A4="","",SUMIFS('Stock In'!$C$2:$C$501,'Stock In'!$B$2:$B$501,A4))</f>
        <v/>
      </c>
      <c r="P4">
        <f>IF(A4="","",SUMIFS(Orders!$H$2:$H$501,Orders!$G$2:$G$501,A4,Orders!$K$2:$K$501,"Shipped")+SUMIFS(Orders!$H$2:$H$501,Orders!$G$2:$G$501,A4,Orders!$K$2:$K$501,"Delivered"))</f>
        <v/>
      </c>
      <c r="Q4">
        <f>IF(OR(A4="",E4="Dropship"),"",N(N4)+N(O4)-N(P4))</f>
        <v/>
      </c>
      <c r="R4" s="34" t="n">
        <v>15</v>
      </c>
      <c r="S4">
        <f>IF(OR(A4="",E4="Dropship"),"",IF(Q4&lt;=IF(R4="",Settings!$B$4,R4),"REORDER","OK"))</f>
        <v/>
      </c>
      <c r="T4" s="44">
        <f>IF(OR(A4="",E4="Dropship",J4=""),"",Q4*J4)</f>
        <v/>
      </c>
    </row>
    <row r="5">
      <c r="A5" s="34" t="n"/>
      <c r="B5" s="34" t="n"/>
      <c r="C5" s="34" t="n"/>
      <c r="D5" s="34" t="n"/>
      <c r="E5" s="34" t="n"/>
      <c r="F5" s="36" t="n"/>
      <c r="G5" s="36" t="n"/>
      <c r="H5" s="36" t="n"/>
      <c r="I5" s="36" t="n"/>
      <c r="J5" s="44">
        <f>IF(A5="","",SUM(F5:I5))</f>
        <v/>
      </c>
      <c r="K5" s="36" t="n"/>
      <c r="L5" s="44">
        <f>IF(OR(A5="",K5=""),"",K5-J5)</f>
        <v/>
      </c>
      <c r="M5" s="37">
        <f>IF(OR(A5="",K5="",K5=0),"",L5/K5)</f>
        <v/>
      </c>
      <c r="N5" s="34" t="n"/>
      <c r="O5">
        <f>IF(A5="","",SUMIFS('Stock In'!$C$2:$C$501,'Stock In'!$B$2:$B$501,A5))</f>
        <v/>
      </c>
      <c r="P5">
        <f>IF(A5="","",SUMIFS(Orders!$H$2:$H$501,Orders!$G$2:$G$501,A5,Orders!$K$2:$K$501,"Shipped")+SUMIFS(Orders!$H$2:$H$501,Orders!$G$2:$G$501,A5,Orders!$K$2:$K$501,"Delivered"))</f>
        <v/>
      </c>
      <c r="Q5">
        <f>IF(OR(A5="",E5="Dropship"),"",N(N5)+N(O5)-N(P5))</f>
        <v/>
      </c>
      <c r="R5" s="34" t="n"/>
      <c r="S5">
        <f>IF(OR(A5="",E5="Dropship"),"",IF(Q5&lt;=IF(R5="",Settings!$B$4,R5),"REORDER","OK"))</f>
        <v/>
      </c>
      <c r="T5" s="44">
        <f>IF(OR(A5="",E5="Dropship",J5=""),"",Q5*J5)</f>
        <v/>
      </c>
    </row>
    <row r="6">
      <c r="A6" s="34" t="n"/>
      <c r="B6" s="34" t="n"/>
      <c r="C6" s="34" t="n"/>
      <c r="D6" s="34" t="n"/>
      <c r="E6" s="34" t="n"/>
      <c r="F6" s="36" t="n"/>
      <c r="G6" s="36" t="n"/>
      <c r="H6" s="36" t="n"/>
      <c r="I6" s="36" t="n"/>
      <c r="J6" s="44">
        <f>IF(A6="","",SUM(F6:I6))</f>
        <v/>
      </c>
      <c r="K6" s="36" t="n"/>
      <c r="L6" s="44">
        <f>IF(OR(A6="",K6=""),"",K6-J6)</f>
        <v/>
      </c>
      <c r="M6" s="37">
        <f>IF(OR(A6="",K6="",K6=0),"",L6/K6)</f>
        <v/>
      </c>
      <c r="N6" s="34" t="n"/>
      <c r="O6">
        <f>IF(A6="","",SUMIFS('Stock In'!$C$2:$C$501,'Stock In'!$B$2:$B$501,A6))</f>
        <v/>
      </c>
      <c r="P6">
        <f>IF(A6="","",SUMIFS(Orders!$H$2:$H$501,Orders!$G$2:$G$501,A6,Orders!$K$2:$K$501,"Shipped")+SUMIFS(Orders!$H$2:$H$501,Orders!$G$2:$G$501,A6,Orders!$K$2:$K$501,"Delivered"))</f>
        <v/>
      </c>
      <c r="Q6">
        <f>IF(OR(A6="",E6="Dropship"),"",N(N6)+N(O6)-N(P6))</f>
        <v/>
      </c>
      <c r="R6" s="34" t="n"/>
      <c r="S6">
        <f>IF(OR(A6="",E6="Dropship"),"",IF(Q6&lt;=IF(R6="",Settings!$B$4,R6),"REORDER","OK"))</f>
        <v/>
      </c>
      <c r="T6" s="44">
        <f>IF(OR(A6="",E6="Dropship",J6=""),"",Q6*J6)</f>
        <v/>
      </c>
    </row>
    <row r="7">
      <c r="A7" s="34" t="n"/>
      <c r="B7" s="34" t="n"/>
      <c r="C7" s="34" t="n"/>
      <c r="D7" s="34" t="n"/>
      <c r="E7" s="34" t="n"/>
      <c r="F7" s="36" t="n"/>
      <c r="G7" s="36" t="n"/>
      <c r="H7" s="36" t="n"/>
      <c r="I7" s="36" t="n"/>
      <c r="J7" s="44">
        <f>IF(A7="","",SUM(F7:I7))</f>
        <v/>
      </c>
      <c r="K7" s="36" t="n"/>
      <c r="L7" s="44">
        <f>IF(OR(A7="",K7=""),"",K7-J7)</f>
        <v/>
      </c>
      <c r="M7" s="37">
        <f>IF(OR(A7="",K7="",K7=0),"",L7/K7)</f>
        <v/>
      </c>
      <c r="N7" s="34" t="n"/>
      <c r="O7">
        <f>IF(A7="","",SUMIFS('Stock In'!$C$2:$C$501,'Stock In'!$B$2:$B$501,A7))</f>
        <v/>
      </c>
      <c r="P7">
        <f>IF(A7="","",SUMIFS(Orders!$H$2:$H$501,Orders!$G$2:$G$501,A7,Orders!$K$2:$K$501,"Shipped")+SUMIFS(Orders!$H$2:$H$501,Orders!$G$2:$G$501,A7,Orders!$K$2:$K$501,"Delivered"))</f>
        <v/>
      </c>
      <c r="Q7">
        <f>IF(OR(A7="",E7="Dropship"),"",N(N7)+N(O7)-N(P7))</f>
        <v/>
      </c>
      <c r="R7" s="34" t="n"/>
      <c r="S7">
        <f>IF(OR(A7="",E7="Dropship"),"",IF(Q7&lt;=IF(R7="",Settings!$B$4,R7),"REORDER","OK"))</f>
        <v/>
      </c>
      <c r="T7" s="44">
        <f>IF(OR(A7="",E7="Dropship",J7=""),"",Q7*J7)</f>
        <v/>
      </c>
    </row>
    <row r="8">
      <c r="A8" s="34" t="n"/>
      <c r="B8" s="34" t="n"/>
      <c r="C8" s="34" t="n"/>
      <c r="D8" s="34" t="n"/>
      <c r="E8" s="34" t="n"/>
      <c r="F8" s="36" t="n"/>
      <c r="G8" s="36" t="n"/>
      <c r="H8" s="36" t="n"/>
      <c r="I8" s="36" t="n"/>
      <c r="J8" s="44">
        <f>IF(A8="","",SUM(F8:I8))</f>
        <v/>
      </c>
      <c r="K8" s="36" t="n"/>
      <c r="L8" s="44">
        <f>IF(OR(A8="",K8=""),"",K8-J8)</f>
        <v/>
      </c>
      <c r="M8" s="37">
        <f>IF(OR(A8="",K8="",K8=0),"",L8/K8)</f>
        <v/>
      </c>
      <c r="N8" s="34" t="n"/>
      <c r="O8">
        <f>IF(A8="","",SUMIFS('Stock In'!$C$2:$C$501,'Stock In'!$B$2:$B$501,A8))</f>
        <v/>
      </c>
      <c r="P8">
        <f>IF(A8="","",SUMIFS(Orders!$H$2:$H$501,Orders!$G$2:$G$501,A8,Orders!$K$2:$K$501,"Shipped")+SUMIFS(Orders!$H$2:$H$501,Orders!$G$2:$G$501,A8,Orders!$K$2:$K$501,"Delivered"))</f>
        <v/>
      </c>
      <c r="Q8">
        <f>IF(OR(A8="",E8="Dropship"),"",N(N8)+N(O8)-N(P8))</f>
        <v/>
      </c>
      <c r="R8" s="34" t="n"/>
      <c r="S8">
        <f>IF(OR(A8="",E8="Dropship"),"",IF(Q8&lt;=IF(R8="",Settings!$B$4,R8),"REORDER","OK"))</f>
        <v/>
      </c>
      <c r="T8" s="44">
        <f>IF(OR(A8="",E8="Dropship",J8=""),"",Q8*J8)</f>
        <v/>
      </c>
    </row>
    <row r="9">
      <c r="A9" s="34" t="n"/>
      <c r="B9" s="34" t="n"/>
      <c r="C9" s="34" t="n"/>
      <c r="D9" s="34" t="n"/>
      <c r="E9" s="34" t="n"/>
      <c r="F9" s="36" t="n"/>
      <c r="G9" s="36" t="n"/>
      <c r="H9" s="36" t="n"/>
      <c r="I9" s="36" t="n"/>
      <c r="J9" s="44">
        <f>IF(A9="","",SUM(F9:I9))</f>
        <v/>
      </c>
      <c r="K9" s="36" t="n"/>
      <c r="L9" s="44">
        <f>IF(OR(A9="",K9=""),"",K9-J9)</f>
        <v/>
      </c>
      <c r="M9" s="37">
        <f>IF(OR(A9="",K9="",K9=0),"",L9/K9)</f>
        <v/>
      </c>
      <c r="N9" s="34" t="n"/>
      <c r="O9">
        <f>IF(A9="","",SUMIFS('Stock In'!$C$2:$C$501,'Stock In'!$B$2:$B$501,A9))</f>
        <v/>
      </c>
      <c r="P9">
        <f>IF(A9="","",SUMIFS(Orders!$H$2:$H$501,Orders!$G$2:$G$501,A9,Orders!$K$2:$K$501,"Shipped")+SUMIFS(Orders!$H$2:$H$501,Orders!$G$2:$G$501,A9,Orders!$K$2:$K$501,"Delivered"))</f>
        <v/>
      </c>
      <c r="Q9">
        <f>IF(OR(A9="",E9="Dropship"),"",N(N9)+N(O9)-N(P9))</f>
        <v/>
      </c>
      <c r="R9" s="34" t="n"/>
      <c r="S9">
        <f>IF(OR(A9="",E9="Dropship"),"",IF(Q9&lt;=IF(R9="",Settings!$B$4,R9),"REORDER","OK"))</f>
        <v/>
      </c>
      <c r="T9" s="44">
        <f>IF(OR(A9="",E9="Dropship",J9=""),"",Q9*J9)</f>
        <v/>
      </c>
    </row>
    <row r="10">
      <c r="A10" s="34" t="n"/>
      <c r="B10" s="34" t="n"/>
      <c r="C10" s="34" t="n"/>
      <c r="D10" s="34" t="n"/>
      <c r="E10" s="34" t="n"/>
      <c r="F10" s="36" t="n"/>
      <c r="G10" s="36" t="n"/>
      <c r="H10" s="36" t="n"/>
      <c r="I10" s="36" t="n"/>
      <c r="J10" s="44">
        <f>IF(A10="","",SUM(F10:I10))</f>
        <v/>
      </c>
      <c r="K10" s="36" t="n"/>
      <c r="L10" s="44">
        <f>IF(OR(A10="",K10=""),"",K10-J10)</f>
        <v/>
      </c>
      <c r="M10" s="37">
        <f>IF(OR(A10="",K10="",K10=0),"",L10/K10)</f>
        <v/>
      </c>
      <c r="N10" s="34" t="n"/>
      <c r="O10">
        <f>IF(A10="","",SUMIFS('Stock In'!$C$2:$C$501,'Stock In'!$B$2:$B$501,A10))</f>
        <v/>
      </c>
      <c r="P10">
        <f>IF(A10="","",SUMIFS(Orders!$H$2:$H$501,Orders!$G$2:$G$501,A10,Orders!$K$2:$K$501,"Shipped")+SUMIFS(Orders!$H$2:$H$501,Orders!$G$2:$G$501,A10,Orders!$K$2:$K$501,"Delivered"))</f>
        <v/>
      </c>
      <c r="Q10">
        <f>IF(OR(A10="",E10="Dropship"),"",N(N10)+N(O10)-N(P10))</f>
        <v/>
      </c>
      <c r="R10" s="34" t="n"/>
      <c r="S10">
        <f>IF(OR(A10="",E10="Dropship"),"",IF(Q10&lt;=IF(R10="",Settings!$B$4,R10),"REORDER","OK"))</f>
        <v/>
      </c>
      <c r="T10" s="44">
        <f>IF(OR(A10="",E10="Dropship",J10=""),"",Q10*J10)</f>
        <v/>
      </c>
    </row>
    <row r="11">
      <c r="A11" s="34" t="n"/>
      <c r="B11" s="34" t="n"/>
      <c r="C11" s="34" t="n"/>
      <c r="D11" s="34" t="n"/>
      <c r="E11" s="34" t="n"/>
      <c r="F11" s="36" t="n"/>
      <c r="G11" s="36" t="n"/>
      <c r="H11" s="36" t="n"/>
      <c r="I11" s="36" t="n"/>
      <c r="J11" s="44">
        <f>IF(A11="","",SUM(F11:I11))</f>
        <v/>
      </c>
      <c r="K11" s="36" t="n"/>
      <c r="L11" s="44">
        <f>IF(OR(A11="",K11=""),"",K11-J11)</f>
        <v/>
      </c>
      <c r="M11" s="37">
        <f>IF(OR(A11="",K11="",K11=0),"",L11/K11)</f>
        <v/>
      </c>
      <c r="N11" s="34" t="n"/>
      <c r="O11">
        <f>IF(A11="","",SUMIFS('Stock In'!$C$2:$C$501,'Stock In'!$B$2:$B$501,A11))</f>
        <v/>
      </c>
      <c r="P11">
        <f>IF(A11="","",SUMIFS(Orders!$H$2:$H$501,Orders!$G$2:$G$501,A11,Orders!$K$2:$K$501,"Shipped")+SUMIFS(Orders!$H$2:$H$501,Orders!$G$2:$G$501,A11,Orders!$K$2:$K$501,"Delivered"))</f>
        <v/>
      </c>
      <c r="Q11">
        <f>IF(OR(A11="",E11="Dropship"),"",N(N11)+N(O11)-N(P11))</f>
        <v/>
      </c>
      <c r="R11" s="34" t="n"/>
      <c r="S11">
        <f>IF(OR(A11="",E11="Dropship"),"",IF(Q11&lt;=IF(R11="",Settings!$B$4,R11),"REORDER","OK"))</f>
        <v/>
      </c>
      <c r="T11" s="44">
        <f>IF(OR(A11="",E11="Dropship",J11=""),"",Q11*J11)</f>
        <v/>
      </c>
    </row>
    <row r="12">
      <c r="A12" s="34" t="n"/>
      <c r="B12" s="34" t="n"/>
      <c r="C12" s="34" t="n"/>
      <c r="D12" s="34" t="n"/>
      <c r="E12" s="34" t="n"/>
      <c r="F12" s="36" t="n"/>
      <c r="G12" s="36" t="n"/>
      <c r="H12" s="36" t="n"/>
      <c r="I12" s="36" t="n"/>
      <c r="J12" s="44">
        <f>IF(A12="","",SUM(F12:I12))</f>
        <v/>
      </c>
      <c r="K12" s="36" t="n"/>
      <c r="L12" s="44">
        <f>IF(OR(A12="",K12=""),"",K12-J12)</f>
        <v/>
      </c>
      <c r="M12" s="37">
        <f>IF(OR(A12="",K12="",K12=0),"",L12/K12)</f>
        <v/>
      </c>
      <c r="N12" s="34" t="n"/>
      <c r="O12">
        <f>IF(A12="","",SUMIFS('Stock In'!$C$2:$C$501,'Stock In'!$B$2:$B$501,A12))</f>
        <v/>
      </c>
      <c r="P12">
        <f>IF(A12="","",SUMIFS(Orders!$H$2:$H$501,Orders!$G$2:$G$501,A12,Orders!$K$2:$K$501,"Shipped")+SUMIFS(Orders!$H$2:$H$501,Orders!$G$2:$G$501,A12,Orders!$K$2:$K$501,"Delivered"))</f>
        <v/>
      </c>
      <c r="Q12">
        <f>IF(OR(A12="",E12="Dropship"),"",N(N12)+N(O12)-N(P12))</f>
        <v/>
      </c>
      <c r="R12" s="34" t="n"/>
      <c r="S12">
        <f>IF(OR(A12="",E12="Dropship"),"",IF(Q12&lt;=IF(R12="",Settings!$B$4,R12),"REORDER","OK"))</f>
        <v/>
      </c>
      <c r="T12" s="44">
        <f>IF(OR(A12="",E12="Dropship",J12=""),"",Q12*J12)</f>
        <v/>
      </c>
    </row>
    <row r="13">
      <c r="A13" s="34" t="n"/>
      <c r="B13" s="34" t="n"/>
      <c r="C13" s="34" t="n"/>
      <c r="D13" s="34" t="n"/>
      <c r="E13" s="34" t="n"/>
      <c r="F13" s="36" t="n"/>
      <c r="G13" s="36" t="n"/>
      <c r="H13" s="36" t="n"/>
      <c r="I13" s="36" t="n"/>
      <c r="J13" s="44">
        <f>IF(A13="","",SUM(F13:I13))</f>
        <v/>
      </c>
      <c r="K13" s="36" t="n"/>
      <c r="L13" s="44">
        <f>IF(OR(A13="",K13=""),"",K13-J13)</f>
        <v/>
      </c>
      <c r="M13" s="37">
        <f>IF(OR(A13="",K13="",K13=0),"",L13/K13)</f>
        <v/>
      </c>
      <c r="N13" s="34" t="n"/>
      <c r="O13">
        <f>IF(A13="","",SUMIFS('Stock In'!$C$2:$C$501,'Stock In'!$B$2:$B$501,A13))</f>
        <v/>
      </c>
      <c r="P13">
        <f>IF(A13="","",SUMIFS(Orders!$H$2:$H$501,Orders!$G$2:$G$501,A13,Orders!$K$2:$K$501,"Shipped")+SUMIFS(Orders!$H$2:$H$501,Orders!$G$2:$G$501,A13,Orders!$K$2:$K$501,"Delivered"))</f>
        <v/>
      </c>
      <c r="Q13">
        <f>IF(OR(A13="",E13="Dropship"),"",N(N13)+N(O13)-N(P13))</f>
        <v/>
      </c>
      <c r="R13" s="34" t="n"/>
      <c r="S13">
        <f>IF(OR(A13="",E13="Dropship"),"",IF(Q13&lt;=IF(R13="",Settings!$B$4,R13),"REORDER","OK"))</f>
        <v/>
      </c>
      <c r="T13" s="44">
        <f>IF(OR(A13="",E13="Dropship",J13=""),"",Q13*J13)</f>
        <v/>
      </c>
    </row>
    <row r="14">
      <c r="A14" s="34" t="n"/>
      <c r="B14" s="34" t="n"/>
      <c r="C14" s="34" t="n"/>
      <c r="D14" s="34" t="n"/>
      <c r="E14" s="34" t="n"/>
      <c r="F14" s="36" t="n"/>
      <c r="G14" s="36" t="n"/>
      <c r="H14" s="36" t="n"/>
      <c r="I14" s="36" t="n"/>
      <c r="J14" s="44">
        <f>IF(A14="","",SUM(F14:I14))</f>
        <v/>
      </c>
      <c r="K14" s="36" t="n"/>
      <c r="L14" s="44">
        <f>IF(OR(A14="",K14=""),"",K14-J14)</f>
        <v/>
      </c>
      <c r="M14" s="37">
        <f>IF(OR(A14="",K14="",K14=0),"",L14/K14)</f>
        <v/>
      </c>
      <c r="N14" s="34" t="n"/>
      <c r="O14">
        <f>IF(A14="","",SUMIFS('Stock In'!$C$2:$C$501,'Stock In'!$B$2:$B$501,A14))</f>
        <v/>
      </c>
      <c r="P14">
        <f>IF(A14="","",SUMIFS(Orders!$H$2:$H$501,Orders!$G$2:$G$501,A14,Orders!$K$2:$K$501,"Shipped")+SUMIFS(Orders!$H$2:$H$501,Orders!$G$2:$G$501,A14,Orders!$K$2:$K$501,"Delivered"))</f>
        <v/>
      </c>
      <c r="Q14">
        <f>IF(OR(A14="",E14="Dropship"),"",N(N14)+N(O14)-N(P14))</f>
        <v/>
      </c>
      <c r="R14" s="34" t="n"/>
      <c r="S14">
        <f>IF(OR(A14="",E14="Dropship"),"",IF(Q14&lt;=IF(R14="",Settings!$B$4,R14),"REORDER","OK"))</f>
        <v/>
      </c>
      <c r="T14" s="44">
        <f>IF(OR(A14="",E14="Dropship",J14=""),"",Q14*J14)</f>
        <v/>
      </c>
    </row>
    <row r="15">
      <c r="A15" s="34" t="n"/>
      <c r="B15" s="34" t="n"/>
      <c r="C15" s="34" t="n"/>
      <c r="D15" s="34" t="n"/>
      <c r="E15" s="34" t="n"/>
      <c r="F15" s="36" t="n"/>
      <c r="G15" s="36" t="n"/>
      <c r="H15" s="36" t="n"/>
      <c r="I15" s="36" t="n"/>
      <c r="J15" s="44">
        <f>IF(A15="","",SUM(F15:I15))</f>
        <v/>
      </c>
      <c r="K15" s="36" t="n"/>
      <c r="L15" s="44">
        <f>IF(OR(A15="",K15=""),"",K15-J15)</f>
        <v/>
      </c>
      <c r="M15" s="37">
        <f>IF(OR(A15="",K15="",K15=0),"",L15/K15)</f>
        <v/>
      </c>
      <c r="N15" s="34" t="n"/>
      <c r="O15">
        <f>IF(A15="","",SUMIFS('Stock In'!$C$2:$C$501,'Stock In'!$B$2:$B$501,A15))</f>
        <v/>
      </c>
      <c r="P15">
        <f>IF(A15="","",SUMIFS(Orders!$H$2:$H$501,Orders!$G$2:$G$501,A15,Orders!$K$2:$K$501,"Shipped")+SUMIFS(Orders!$H$2:$H$501,Orders!$G$2:$G$501,A15,Orders!$K$2:$K$501,"Delivered"))</f>
        <v/>
      </c>
      <c r="Q15">
        <f>IF(OR(A15="",E15="Dropship"),"",N(N15)+N(O15)-N(P15))</f>
        <v/>
      </c>
      <c r="R15" s="34" t="n"/>
      <c r="S15">
        <f>IF(OR(A15="",E15="Dropship"),"",IF(Q15&lt;=IF(R15="",Settings!$B$4,R15),"REORDER","OK"))</f>
        <v/>
      </c>
      <c r="T15" s="44">
        <f>IF(OR(A15="",E15="Dropship",J15=""),"",Q15*J15)</f>
        <v/>
      </c>
    </row>
    <row r="16">
      <c r="A16" s="34" t="n"/>
      <c r="B16" s="34" t="n"/>
      <c r="C16" s="34" t="n"/>
      <c r="D16" s="34" t="n"/>
      <c r="E16" s="34" t="n"/>
      <c r="F16" s="36" t="n"/>
      <c r="G16" s="36" t="n"/>
      <c r="H16" s="36" t="n"/>
      <c r="I16" s="36" t="n"/>
      <c r="J16" s="44">
        <f>IF(A16="","",SUM(F16:I16))</f>
        <v/>
      </c>
      <c r="K16" s="36" t="n"/>
      <c r="L16" s="44">
        <f>IF(OR(A16="",K16=""),"",K16-J16)</f>
        <v/>
      </c>
      <c r="M16" s="37">
        <f>IF(OR(A16="",K16="",K16=0),"",L16/K16)</f>
        <v/>
      </c>
      <c r="N16" s="34" t="n"/>
      <c r="O16">
        <f>IF(A16="","",SUMIFS('Stock In'!$C$2:$C$501,'Stock In'!$B$2:$B$501,A16))</f>
        <v/>
      </c>
      <c r="P16">
        <f>IF(A16="","",SUMIFS(Orders!$H$2:$H$501,Orders!$G$2:$G$501,A16,Orders!$K$2:$K$501,"Shipped")+SUMIFS(Orders!$H$2:$H$501,Orders!$G$2:$G$501,A16,Orders!$K$2:$K$501,"Delivered"))</f>
        <v/>
      </c>
      <c r="Q16">
        <f>IF(OR(A16="",E16="Dropship"),"",N(N16)+N(O16)-N(P16))</f>
        <v/>
      </c>
      <c r="R16" s="34" t="n"/>
      <c r="S16">
        <f>IF(OR(A16="",E16="Dropship"),"",IF(Q16&lt;=IF(R16="",Settings!$B$4,R16),"REORDER","OK"))</f>
        <v/>
      </c>
      <c r="T16" s="44">
        <f>IF(OR(A16="",E16="Dropship",J16=""),"",Q16*J16)</f>
        <v/>
      </c>
    </row>
    <row r="17">
      <c r="A17" s="34" t="n"/>
      <c r="B17" s="34" t="n"/>
      <c r="C17" s="34" t="n"/>
      <c r="D17" s="34" t="n"/>
      <c r="E17" s="34" t="n"/>
      <c r="F17" s="36" t="n"/>
      <c r="G17" s="36" t="n"/>
      <c r="H17" s="36" t="n"/>
      <c r="I17" s="36" t="n"/>
      <c r="J17" s="44">
        <f>IF(A17="","",SUM(F17:I17))</f>
        <v/>
      </c>
      <c r="K17" s="36" t="n"/>
      <c r="L17" s="44">
        <f>IF(OR(A17="",K17=""),"",K17-J17)</f>
        <v/>
      </c>
      <c r="M17" s="37">
        <f>IF(OR(A17="",K17="",K17=0),"",L17/K17)</f>
        <v/>
      </c>
      <c r="N17" s="34" t="n"/>
      <c r="O17">
        <f>IF(A17="","",SUMIFS('Stock In'!$C$2:$C$501,'Stock In'!$B$2:$B$501,A17))</f>
        <v/>
      </c>
      <c r="P17">
        <f>IF(A17="","",SUMIFS(Orders!$H$2:$H$501,Orders!$G$2:$G$501,A17,Orders!$K$2:$K$501,"Shipped")+SUMIFS(Orders!$H$2:$H$501,Orders!$G$2:$G$501,A17,Orders!$K$2:$K$501,"Delivered"))</f>
        <v/>
      </c>
      <c r="Q17">
        <f>IF(OR(A17="",E17="Dropship"),"",N(N17)+N(O17)-N(P17))</f>
        <v/>
      </c>
      <c r="R17" s="34" t="n"/>
      <c r="S17">
        <f>IF(OR(A17="",E17="Dropship"),"",IF(Q17&lt;=IF(R17="",Settings!$B$4,R17),"REORDER","OK"))</f>
        <v/>
      </c>
      <c r="T17" s="44">
        <f>IF(OR(A17="",E17="Dropship",J17=""),"",Q17*J17)</f>
        <v/>
      </c>
    </row>
    <row r="18">
      <c r="A18" s="34" t="n"/>
      <c r="B18" s="34" t="n"/>
      <c r="C18" s="34" t="n"/>
      <c r="D18" s="34" t="n"/>
      <c r="E18" s="34" t="n"/>
      <c r="F18" s="36" t="n"/>
      <c r="G18" s="36" t="n"/>
      <c r="H18" s="36" t="n"/>
      <c r="I18" s="36" t="n"/>
      <c r="J18" s="44">
        <f>IF(A18="","",SUM(F18:I18))</f>
        <v/>
      </c>
      <c r="K18" s="36" t="n"/>
      <c r="L18" s="44">
        <f>IF(OR(A18="",K18=""),"",K18-J18)</f>
        <v/>
      </c>
      <c r="M18" s="37">
        <f>IF(OR(A18="",K18="",K18=0),"",L18/K18)</f>
        <v/>
      </c>
      <c r="N18" s="34" t="n"/>
      <c r="O18">
        <f>IF(A18="","",SUMIFS('Stock In'!$C$2:$C$501,'Stock In'!$B$2:$B$501,A18))</f>
        <v/>
      </c>
      <c r="P18">
        <f>IF(A18="","",SUMIFS(Orders!$H$2:$H$501,Orders!$G$2:$G$501,A18,Orders!$K$2:$K$501,"Shipped")+SUMIFS(Orders!$H$2:$H$501,Orders!$G$2:$G$501,A18,Orders!$K$2:$K$501,"Delivered"))</f>
        <v/>
      </c>
      <c r="Q18">
        <f>IF(OR(A18="",E18="Dropship"),"",N(N18)+N(O18)-N(P18))</f>
        <v/>
      </c>
      <c r="R18" s="34" t="n"/>
      <c r="S18">
        <f>IF(OR(A18="",E18="Dropship"),"",IF(Q18&lt;=IF(R18="",Settings!$B$4,R18),"REORDER","OK"))</f>
        <v/>
      </c>
      <c r="T18" s="44">
        <f>IF(OR(A18="",E18="Dropship",J18=""),"",Q18*J18)</f>
        <v/>
      </c>
    </row>
    <row r="19">
      <c r="A19" s="34" t="n"/>
      <c r="B19" s="34" t="n"/>
      <c r="C19" s="34" t="n"/>
      <c r="D19" s="34" t="n"/>
      <c r="E19" s="34" t="n"/>
      <c r="F19" s="36" t="n"/>
      <c r="G19" s="36" t="n"/>
      <c r="H19" s="36" t="n"/>
      <c r="I19" s="36" t="n"/>
      <c r="J19" s="44">
        <f>IF(A19="","",SUM(F19:I19))</f>
        <v/>
      </c>
      <c r="K19" s="36" t="n"/>
      <c r="L19" s="44">
        <f>IF(OR(A19="",K19=""),"",K19-J19)</f>
        <v/>
      </c>
      <c r="M19" s="37">
        <f>IF(OR(A19="",K19="",K19=0),"",L19/K19)</f>
        <v/>
      </c>
      <c r="N19" s="34" t="n"/>
      <c r="O19">
        <f>IF(A19="","",SUMIFS('Stock In'!$C$2:$C$501,'Stock In'!$B$2:$B$501,A19))</f>
        <v/>
      </c>
      <c r="P19">
        <f>IF(A19="","",SUMIFS(Orders!$H$2:$H$501,Orders!$G$2:$G$501,A19,Orders!$K$2:$K$501,"Shipped")+SUMIFS(Orders!$H$2:$H$501,Orders!$G$2:$G$501,A19,Orders!$K$2:$K$501,"Delivered"))</f>
        <v/>
      </c>
      <c r="Q19">
        <f>IF(OR(A19="",E19="Dropship"),"",N(N19)+N(O19)-N(P19))</f>
        <v/>
      </c>
      <c r="R19" s="34" t="n"/>
      <c r="S19">
        <f>IF(OR(A19="",E19="Dropship"),"",IF(Q19&lt;=IF(R19="",Settings!$B$4,R19),"REORDER","OK"))</f>
        <v/>
      </c>
      <c r="T19" s="44">
        <f>IF(OR(A19="",E19="Dropship",J19=""),"",Q19*J19)</f>
        <v/>
      </c>
    </row>
    <row r="20">
      <c r="A20" s="34" t="n"/>
      <c r="B20" s="34" t="n"/>
      <c r="C20" s="34" t="n"/>
      <c r="D20" s="34" t="n"/>
      <c r="E20" s="34" t="n"/>
      <c r="F20" s="36" t="n"/>
      <c r="G20" s="36" t="n"/>
      <c r="H20" s="36" t="n"/>
      <c r="I20" s="36" t="n"/>
      <c r="J20" s="44">
        <f>IF(A20="","",SUM(F20:I20))</f>
        <v/>
      </c>
      <c r="K20" s="36" t="n"/>
      <c r="L20" s="44">
        <f>IF(OR(A20="",K20=""),"",K20-J20)</f>
        <v/>
      </c>
      <c r="M20" s="37">
        <f>IF(OR(A20="",K20="",K20=0),"",L20/K20)</f>
        <v/>
      </c>
      <c r="N20" s="34" t="n"/>
      <c r="O20">
        <f>IF(A20="","",SUMIFS('Stock In'!$C$2:$C$501,'Stock In'!$B$2:$B$501,A20))</f>
        <v/>
      </c>
      <c r="P20">
        <f>IF(A20="","",SUMIFS(Orders!$H$2:$H$501,Orders!$G$2:$G$501,A20,Orders!$K$2:$K$501,"Shipped")+SUMIFS(Orders!$H$2:$H$501,Orders!$G$2:$G$501,A20,Orders!$K$2:$K$501,"Delivered"))</f>
        <v/>
      </c>
      <c r="Q20">
        <f>IF(OR(A20="",E20="Dropship"),"",N(N20)+N(O20)-N(P20))</f>
        <v/>
      </c>
      <c r="R20" s="34" t="n"/>
      <c r="S20">
        <f>IF(OR(A20="",E20="Dropship"),"",IF(Q20&lt;=IF(R20="",Settings!$B$4,R20),"REORDER","OK"))</f>
        <v/>
      </c>
      <c r="T20" s="44">
        <f>IF(OR(A20="",E20="Dropship",J20=""),"",Q20*J20)</f>
        <v/>
      </c>
    </row>
    <row r="21">
      <c r="A21" s="34" t="n"/>
      <c r="B21" s="34" t="n"/>
      <c r="C21" s="34" t="n"/>
      <c r="D21" s="34" t="n"/>
      <c r="E21" s="34" t="n"/>
      <c r="F21" s="36" t="n"/>
      <c r="G21" s="36" t="n"/>
      <c r="H21" s="36" t="n"/>
      <c r="I21" s="36" t="n"/>
      <c r="J21" s="44">
        <f>IF(A21="","",SUM(F21:I21))</f>
        <v/>
      </c>
      <c r="K21" s="36" t="n"/>
      <c r="L21" s="44">
        <f>IF(OR(A21="",K21=""),"",K21-J21)</f>
        <v/>
      </c>
      <c r="M21" s="37">
        <f>IF(OR(A21="",K21="",K21=0),"",L21/K21)</f>
        <v/>
      </c>
      <c r="N21" s="34" t="n"/>
      <c r="O21">
        <f>IF(A21="","",SUMIFS('Stock In'!$C$2:$C$501,'Stock In'!$B$2:$B$501,A21))</f>
        <v/>
      </c>
      <c r="P21">
        <f>IF(A21="","",SUMIFS(Orders!$H$2:$H$501,Orders!$G$2:$G$501,A21,Orders!$K$2:$K$501,"Shipped")+SUMIFS(Orders!$H$2:$H$501,Orders!$G$2:$G$501,A21,Orders!$K$2:$K$501,"Delivered"))</f>
        <v/>
      </c>
      <c r="Q21">
        <f>IF(OR(A21="",E21="Dropship"),"",N(N21)+N(O21)-N(P21))</f>
        <v/>
      </c>
      <c r="R21" s="34" t="n"/>
      <c r="S21">
        <f>IF(OR(A21="",E21="Dropship"),"",IF(Q21&lt;=IF(R21="",Settings!$B$4,R21),"REORDER","OK"))</f>
        <v/>
      </c>
      <c r="T21" s="44">
        <f>IF(OR(A21="",E21="Dropship",J21=""),"",Q21*J21)</f>
        <v/>
      </c>
    </row>
    <row r="22">
      <c r="A22" s="34" t="n"/>
      <c r="B22" s="34" t="n"/>
      <c r="C22" s="34" t="n"/>
      <c r="D22" s="34" t="n"/>
      <c r="E22" s="34" t="n"/>
      <c r="F22" s="36" t="n"/>
      <c r="G22" s="36" t="n"/>
      <c r="H22" s="36" t="n"/>
      <c r="I22" s="36" t="n"/>
      <c r="J22" s="44">
        <f>IF(A22="","",SUM(F22:I22))</f>
        <v/>
      </c>
      <c r="K22" s="36" t="n"/>
      <c r="L22" s="44">
        <f>IF(OR(A22="",K22=""),"",K22-J22)</f>
        <v/>
      </c>
      <c r="M22" s="37">
        <f>IF(OR(A22="",K22="",K22=0),"",L22/K22)</f>
        <v/>
      </c>
      <c r="N22" s="34" t="n"/>
      <c r="O22">
        <f>IF(A22="","",SUMIFS('Stock In'!$C$2:$C$501,'Stock In'!$B$2:$B$501,A22))</f>
        <v/>
      </c>
      <c r="P22">
        <f>IF(A22="","",SUMIFS(Orders!$H$2:$H$501,Orders!$G$2:$G$501,A22,Orders!$K$2:$K$501,"Shipped")+SUMIFS(Orders!$H$2:$H$501,Orders!$G$2:$G$501,A22,Orders!$K$2:$K$501,"Delivered"))</f>
        <v/>
      </c>
      <c r="Q22">
        <f>IF(OR(A22="",E22="Dropship"),"",N(N22)+N(O22)-N(P22))</f>
        <v/>
      </c>
      <c r="R22" s="34" t="n"/>
      <c r="S22">
        <f>IF(OR(A22="",E22="Dropship"),"",IF(Q22&lt;=IF(R22="",Settings!$B$4,R22),"REORDER","OK"))</f>
        <v/>
      </c>
      <c r="T22" s="44">
        <f>IF(OR(A22="",E22="Dropship",J22=""),"",Q22*J22)</f>
        <v/>
      </c>
    </row>
    <row r="23">
      <c r="A23" s="34" t="n"/>
      <c r="B23" s="34" t="n"/>
      <c r="C23" s="34" t="n"/>
      <c r="D23" s="34" t="n"/>
      <c r="E23" s="34" t="n"/>
      <c r="F23" s="36" t="n"/>
      <c r="G23" s="36" t="n"/>
      <c r="H23" s="36" t="n"/>
      <c r="I23" s="36" t="n"/>
      <c r="J23" s="44">
        <f>IF(A23="","",SUM(F23:I23))</f>
        <v/>
      </c>
      <c r="K23" s="36" t="n"/>
      <c r="L23" s="44">
        <f>IF(OR(A23="",K23=""),"",K23-J23)</f>
        <v/>
      </c>
      <c r="M23" s="37">
        <f>IF(OR(A23="",K23="",K23=0),"",L23/K23)</f>
        <v/>
      </c>
      <c r="N23" s="34" t="n"/>
      <c r="O23">
        <f>IF(A23="","",SUMIFS('Stock In'!$C$2:$C$501,'Stock In'!$B$2:$B$501,A23))</f>
        <v/>
      </c>
      <c r="P23">
        <f>IF(A23="","",SUMIFS(Orders!$H$2:$H$501,Orders!$G$2:$G$501,A23,Orders!$K$2:$K$501,"Shipped")+SUMIFS(Orders!$H$2:$H$501,Orders!$G$2:$G$501,A23,Orders!$K$2:$K$501,"Delivered"))</f>
        <v/>
      </c>
      <c r="Q23">
        <f>IF(OR(A23="",E23="Dropship"),"",N(N23)+N(O23)-N(P23))</f>
        <v/>
      </c>
      <c r="R23" s="34" t="n"/>
      <c r="S23">
        <f>IF(OR(A23="",E23="Dropship"),"",IF(Q23&lt;=IF(R23="",Settings!$B$4,R23),"REORDER","OK"))</f>
        <v/>
      </c>
      <c r="T23" s="44">
        <f>IF(OR(A23="",E23="Dropship",J23=""),"",Q23*J23)</f>
        <v/>
      </c>
    </row>
    <row r="24">
      <c r="A24" s="34" t="n"/>
      <c r="B24" s="34" t="n"/>
      <c r="C24" s="34" t="n"/>
      <c r="D24" s="34" t="n"/>
      <c r="E24" s="34" t="n"/>
      <c r="F24" s="36" t="n"/>
      <c r="G24" s="36" t="n"/>
      <c r="H24" s="36" t="n"/>
      <c r="I24" s="36" t="n"/>
      <c r="J24" s="44">
        <f>IF(A24="","",SUM(F24:I24))</f>
        <v/>
      </c>
      <c r="K24" s="36" t="n"/>
      <c r="L24" s="44">
        <f>IF(OR(A24="",K24=""),"",K24-J24)</f>
        <v/>
      </c>
      <c r="M24" s="37">
        <f>IF(OR(A24="",K24="",K24=0),"",L24/K24)</f>
        <v/>
      </c>
      <c r="N24" s="34" t="n"/>
      <c r="O24">
        <f>IF(A24="","",SUMIFS('Stock In'!$C$2:$C$501,'Stock In'!$B$2:$B$501,A24))</f>
        <v/>
      </c>
      <c r="P24">
        <f>IF(A24="","",SUMIFS(Orders!$H$2:$H$501,Orders!$G$2:$G$501,A24,Orders!$K$2:$K$501,"Shipped")+SUMIFS(Orders!$H$2:$H$501,Orders!$G$2:$G$501,A24,Orders!$K$2:$K$501,"Delivered"))</f>
        <v/>
      </c>
      <c r="Q24">
        <f>IF(OR(A24="",E24="Dropship"),"",N(N24)+N(O24)-N(P24))</f>
        <v/>
      </c>
      <c r="R24" s="34" t="n"/>
      <c r="S24">
        <f>IF(OR(A24="",E24="Dropship"),"",IF(Q24&lt;=IF(R24="",Settings!$B$4,R24),"REORDER","OK"))</f>
        <v/>
      </c>
      <c r="T24" s="44">
        <f>IF(OR(A24="",E24="Dropship",J24=""),"",Q24*J24)</f>
        <v/>
      </c>
    </row>
    <row r="25">
      <c r="A25" s="34" t="n"/>
      <c r="B25" s="34" t="n"/>
      <c r="C25" s="34" t="n"/>
      <c r="D25" s="34" t="n"/>
      <c r="E25" s="34" t="n"/>
      <c r="F25" s="36" t="n"/>
      <c r="G25" s="36" t="n"/>
      <c r="H25" s="36" t="n"/>
      <c r="I25" s="36" t="n"/>
      <c r="J25" s="44">
        <f>IF(A25="","",SUM(F25:I25))</f>
        <v/>
      </c>
      <c r="K25" s="36" t="n"/>
      <c r="L25" s="44">
        <f>IF(OR(A25="",K25=""),"",K25-J25)</f>
        <v/>
      </c>
      <c r="M25" s="37">
        <f>IF(OR(A25="",K25="",K25=0),"",L25/K25)</f>
        <v/>
      </c>
      <c r="N25" s="34" t="n"/>
      <c r="O25">
        <f>IF(A25="","",SUMIFS('Stock In'!$C$2:$C$501,'Stock In'!$B$2:$B$501,A25))</f>
        <v/>
      </c>
      <c r="P25">
        <f>IF(A25="","",SUMIFS(Orders!$H$2:$H$501,Orders!$G$2:$G$501,A25,Orders!$K$2:$K$501,"Shipped")+SUMIFS(Orders!$H$2:$H$501,Orders!$G$2:$G$501,A25,Orders!$K$2:$K$501,"Delivered"))</f>
        <v/>
      </c>
      <c r="Q25">
        <f>IF(OR(A25="",E25="Dropship"),"",N(N25)+N(O25)-N(P25))</f>
        <v/>
      </c>
      <c r="R25" s="34" t="n"/>
      <c r="S25">
        <f>IF(OR(A25="",E25="Dropship"),"",IF(Q25&lt;=IF(R25="",Settings!$B$4,R25),"REORDER","OK"))</f>
        <v/>
      </c>
      <c r="T25" s="44">
        <f>IF(OR(A25="",E25="Dropship",J25=""),"",Q25*J25)</f>
        <v/>
      </c>
    </row>
    <row r="26">
      <c r="A26" s="34" t="n"/>
      <c r="B26" s="34" t="n"/>
      <c r="C26" s="34" t="n"/>
      <c r="D26" s="34" t="n"/>
      <c r="E26" s="34" t="n"/>
      <c r="F26" s="36" t="n"/>
      <c r="G26" s="36" t="n"/>
      <c r="H26" s="36" t="n"/>
      <c r="I26" s="36" t="n"/>
      <c r="J26" s="44">
        <f>IF(A26="","",SUM(F26:I26))</f>
        <v/>
      </c>
      <c r="K26" s="36" t="n"/>
      <c r="L26" s="44">
        <f>IF(OR(A26="",K26=""),"",K26-J26)</f>
        <v/>
      </c>
      <c r="M26" s="37">
        <f>IF(OR(A26="",K26="",K26=0),"",L26/K26)</f>
        <v/>
      </c>
      <c r="N26" s="34" t="n"/>
      <c r="O26">
        <f>IF(A26="","",SUMIFS('Stock In'!$C$2:$C$501,'Stock In'!$B$2:$B$501,A26))</f>
        <v/>
      </c>
      <c r="P26">
        <f>IF(A26="","",SUMIFS(Orders!$H$2:$H$501,Orders!$G$2:$G$501,A26,Orders!$K$2:$K$501,"Shipped")+SUMIFS(Orders!$H$2:$H$501,Orders!$G$2:$G$501,A26,Orders!$K$2:$K$501,"Delivered"))</f>
        <v/>
      </c>
      <c r="Q26">
        <f>IF(OR(A26="",E26="Dropship"),"",N(N26)+N(O26)-N(P26))</f>
        <v/>
      </c>
      <c r="R26" s="34" t="n"/>
      <c r="S26">
        <f>IF(OR(A26="",E26="Dropship"),"",IF(Q26&lt;=IF(R26="",Settings!$B$4,R26),"REORDER","OK"))</f>
        <v/>
      </c>
      <c r="T26" s="44">
        <f>IF(OR(A26="",E26="Dropship",J26=""),"",Q26*J26)</f>
        <v/>
      </c>
    </row>
    <row r="27">
      <c r="A27" s="34" t="n"/>
      <c r="B27" s="34" t="n"/>
      <c r="C27" s="34" t="n"/>
      <c r="D27" s="34" t="n"/>
      <c r="E27" s="34" t="n"/>
      <c r="F27" s="36" t="n"/>
      <c r="G27" s="36" t="n"/>
      <c r="H27" s="36" t="n"/>
      <c r="I27" s="36" t="n"/>
      <c r="J27" s="44">
        <f>IF(A27="","",SUM(F27:I27))</f>
        <v/>
      </c>
      <c r="K27" s="36" t="n"/>
      <c r="L27" s="44">
        <f>IF(OR(A27="",K27=""),"",K27-J27)</f>
        <v/>
      </c>
      <c r="M27" s="37">
        <f>IF(OR(A27="",K27="",K27=0),"",L27/K27)</f>
        <v/>
      </c>
      <c r="N27" s="34" t="n"/>
      <c r="O27">
        <f>IF(A27="","",SUMIFS('Stock In'!$C$2:$C$501,'Stock In'!$B$2:$B$501,A27))</f>
        <v/>
      </c>
      <c r="P27">
        <f>IF(A27="","",SUMIFS(Orders!$H$2:$H$501,Orders!$G$2:$G$501,A27,Orders!$K$2:$K$501,"Shipped")+SUMIFS(Orders!$H$2:$H$501,Orders!$G$2:$G$501,A27,Orders!$K$2:$K$501,"Delivered"))</f>
        <v/>
      </c>
      <c r="Q27">
        <f>IF(OR(A27="",E27="Dropship"),"",N(N27)+N(O27)-N(P27))</f>
        <v/>
      </c>
      <c r="R27" s="34" t="n"/>
      <c r="S27">
        <f>IF(OR(A27="",E27="Dropship"),"",IF(Q27&lt;=IF(R27="",Settings!$B$4,R27),"REORDER","OK"))</f>
        <v/>
      </c>
      <c r="T27" s="44">
        <f>IF(OR(A27="",E27="Dropship",J27=""),"",Q27*J27)</f>
        <v/>
      </c>
    </row>
    <row r="28">
      <c r="A28" s="34" t="n"/>
      <c r="B28" s="34" t="n"/>
      <c r="C28" s="34" t="n"/>
      <c r="D28" s="34" t="n"/>
      <c r="E28" s="34" t="n"/>
      <c r="F28" s="36" t="n"/>
      <c r="G28" s="36" t="n"/>
      <c r="H28" s="36" t="n"/>
      <c r="I28" s="36" t="n"/>
      <c r="J28" s="44">
        <f>IF(A28="","",SUM(F28:I28))</f>
        <v/>
      </c>
      <c r="K28" s="36" t="n"/>
      <c r="L28" s="44">
        <f>IF(OR(A28="",K28=""),"",K28-J28)</f>
        <v/>
      </c>
      <c r="M28" s="37">
        <f>IF(OR(A28="",K28="",K28=0),"",L28/K28)</f>
        <v/>
      </c>
      <c r="N28" s="34" t="n"/>
      <c r="O28">
        <f>IF(A28="","",SUMIFS('Stock In'!$C$2:$C$501,'Stock In'!$B$2:$B$501,A28))</f>
        <v/>
      </c>
      <c r="P28">
        <f>IF(A28="","",SUMIFS(Orders!$H$2:$H$501,Orders!$G$2:$G$501,A28,Orders!$K$2:$K$501,"Shipped")+SUMIFS(Orders!$H$2:$H$501,Orders!$G$2:$G$501,A28,Orders!$K$2:$K$501,"Delivered"))</f>
        <v/>
      </c>
      <c r="Q28">
        <f>IF(OR(A28="",E28="Dropship"),"",N(N28)+N(O28)-N(P28))</f>
        <v/>
      </c>
      <c r="R28" s="34" t="n"/>
      <c r="S28">
        <f>IF(OR(A28="",E28="Dropship"),"",IF(Q28&lt;=IF(R28="",Settings!$B$4,R28),"REORDER","OK"))</f>
        <v/>
      </c>
      <c r="T28" s="44">
        <f>IF(OR(A28="",E28="Dropship",J28=""),"",Q28*J28)</f>
        <v/>
      </c>
    </row>
    <row r="29">
      <c r="A29" s="34" t="n"/>
      <c r="B29" s="34" t="n"/>
      <c r="C29" s="34" t="n"/>
      <c r="D29" s="34" t="n"/>
      <c r="E29" s="34" t="n"/>
      <c r="F29" s="36" t="n"/>
      <c r="G29" s="36" t="n"/>
      <c r="H29" s="36" t="n"/>
      <c r="I29" s="36" t="n"/>
      <c r="J29" s="44">
        <f>IF(A29="","",SUM(F29:I29))</f>
        <v/>
      </c>
      <c r="K29" s="36" t="n"/>
      <c r="L29" s="44">
        <f>IF(OR(A29="",K29=""),"",K29-J29)</f>
        <v/>
      </c>
      <c r="M29" s="37">
        <f>IF(OR(A29="",K29="",K29=0),"",L29/K29)</f>
        <v/>
      </c>
      <c r="N29" s="34" t="n"/>
      <c r="O29">
        <f>IF(A29="","",SUMIFS('Stock In'!$C$2:$C$501,'Stock In'!$B$2:$B$501,A29))</f>
        <v/>
      </c>
      <c r="P29">
        <f>IF(A29="","",SUMIFS(Orders!$H$2:$H$501,Orders!$G$2:$G$501,A29,Orders!$K$2:$K$501,"Shipped")+SUMIFS(Orders!$H$2:$H$501,Orders!$G$2:$G$501,A29,Orders!$K$2:$K$501,"Delivered"))</f>
        <v/>
      </c>
      <c r="Q29">
        <f>IF(OR(A29="",E29="Dropship"),"",N(N29)+N(O29)-N(P29))</f>
        <v/>
      </c>
      <c r="R29" s="34" t="n"/>
      <c r="S29">
        <f>IF(OR(A29="",E29="Dropship"),"",IF(Q29&lt;=IF(R29="",Settings!$B$4,R29),"REORDER","OK"))</f>
        <v/>
      </c>
      <c r="T29" s="44">
        <f>IF(OR(A29="",E29="Dropship",J29=""),"",Q29*J29)</f>
        <v/>
      </c>
    </row>
    <row r="30">
      <c r="A30" s="34" t="n"/>
      <c r="B30" s="34" t="n"/>
      <c r="C30" s="34" t="n"/>
      <c r="D30" s="34" t="n"/>
      <c r="E30" s="34" t="n"/>
      <c r="F30" s="36" t="n"/>
      <c r="G30" s="36" t="n"/>
      <c r="H30" s="36" t="n"/>
      <c r="I30" s="36" t="n"/>
      <c r="J30" s="44">
        <f>IF(A30="","",SUM(F30:I30))</f>
        <v/>
      </c>
      <c r="K30" s="36" t="n"/>
      <c r="L30" s="44">
        <f>IF(OR(A30="",K30=""),"",K30-J30)</f>
        <v/>
      </c>
      <c r="M30" s="37">
        <f>IF(OR(A30="",K30="",K30=0),"",L30/K30)</f>
        <v/>
      </c>
      <c r="N30" s="34" t="n"/>
      <c r="O30">
        <f>IF(A30="","",SUMIFS('Stock In'!$C$2:$C$501,'Stock In'!$B$2:$B$501,A30))</f>
        <v/>
      </c>
      <c r="P30">
        <f>IF(A30="","",SUMIFS(Orders!$H$2:$H$501,Orders!$G$2:$G$501,A30,Orders!$K$2:$K$501,"Shipped")+SUMIFS(Orders!$H$2:$H$501,Orders!$G$2:$G$501,A30,Orders!$K$2:$K$501,"Delivered"))</f>
        <v/>
      </c>
      <c r="Q30">
        <f>IF(OR(A30="",E30="Dropship"),"",N(N30)+N(O30)-N(P30))</f>
        <v/>
      </c>
      <c r="R30" s="34" t="n"/>
      <c r="S30">
        <f>IF(OR(A30="",E30="Dropship"),"",IF(Q30&lt;=IF(R30="",Settings!$B$4,R30),"REORDER","OK"))</f>
        <v/>
      </c>
      <c r="T30" s="44">
        <f>IF(OR(A30="",E30="Dropship",J30=""),"",Q30*J30)</f>
        <v/>
      </c>
    </row>
    <row r="31">
      <c r="A31" s="34" t="n"/>
      <c r="B31" s="34" t="n"/>
      <c r="C31" s="34" t="n"/>
      <c r="D31" s="34" t="n"/>
      <c r="E31" s="34" t="n"/>
      <c r="F31" s="36" t="n"/>
      <c r="G31" s="36" t="n"/>
      <c r="H31" s="36" t="n"/>
      <c r="I31" s="36" t="n"/>
      <c r="J31" s="44">
        <f>IF(A31="","",SUM(F31:I31))</f>
        <v/>
      </c>
      <c r="K31" s="36" t="n"/>
      <c r="L31" s="44">
        <f>IF(OR(A31="",K31=""),"",K31-J31)</f>
        <v/>
      </c>
      <c r="M31" s="37">
        <f>IF(OR(A31="",K31="",K31=0),"",L31/K31)</f>
        <v/>
      </c>
      <c r="N31" s="34" t="n"/>
      <c r="O31">
        <f>IF(A31="","",SUMIFS('Stock In'!$C$2:$C$501,'Stock In'!$B$2:$B$501,A31))</f>
        <v/>
      </c>
      <c r="P31">
        <f>IF(A31="","",SUMIFS(Orders!$H$2:$H$501,Orders!$G$2:$G$501,A31,Orders!$K$2:$K$501,"Shipped")+SUMIFS(Orders!$H$2:$H$501,Orders!$G$2:$G$501,A31,Orders!$K$2:$K$501,"Delivered"))</f>
        <v/>
      </c>
      <c r="Q31">
        <f>IF(OR(A31="",E31="Dropship"),"",N(N31)+N(O31)-N(P31))</f>
        <v/>
      </c>
      <c r="R31" s="34" t="n"/>
      <c r="S31">
        <f>IF(OR(A31="",E31="Dropship"),"",IF(Q31&lt;=IF(R31="",Settings!$B$4,R31),"REORDER","OK"))</f>
        <v/>
      </c>
      <c r="T31" s="44">
        <f>IF(OR(A31="",E31="Dropship",J31=""),"",Q31*J31)</f>
        <v/>
      </c>
    </row>
    <row r="32">
      <c r="A32" s="34" t="n"/>
      <c r="B32" s="34" t="n"/>
      <c r="C32" s="34" t="n"/>
      <c r="D32" s="34" t="n"/>
      <c r="E32" s="34" t="n"/>
      <c r="F32" s="36" t="n"/>
      <c r="G32" s="36" t="n"/>
      <c r="H32" s="36" t="n"/>
      <c r="I32" s="36" t="n"/>
      <c r="J32" s="44">
        <f>IF(A32="","",SUM(F32:I32))</f>
        <v/>
      </c>
      <c r="K32" s="36" t="n"/>
      <c r="L32" s="44">
        <f>IF(OR(A32="",K32=""),"",K32-J32)</f>
        <v/>
      </c>
      <c r="M32" s="37">
        <f>IF(OR(A32="",K32="",K32=0),"",L32/K32)</f>
        <v/>
      </c>
      <c r="N32" s="34" t="n"/>
      <c r="O32">
        <f>IF(A32="","",SUMIFS('Stock In'!$C$2:$C$501,'Stock In'!$B$2:$B$501,A32))</f>
        <v/>
      </c>
      <c r="P32">
        <f>IF(A32="","",SUMIFS(Orders!$H$2:$H$501,Orders!$G$2:$G$501,A32,Orders!$K$2:$K$501,"Shipped")+SUMIFS(Orders!$H$2:$H$501,Orders!$G$2:$G$501,A32,Orders!$K$2:$K$501,"Delivered"))</f>
        <v/>
      </c>
      <c r="Q32">
        <f>IF(OR(A32="",E32="Dropship"),"",N(N32)+N(O32)-N(P32))</f>
        <v/>
      </c>
      <c r="R32" s="34" t="n"/>
      <c r="S32">
        <f>IF(OR(A32="",E32="Dropship"),"",IF(Q32&lt;=IF(R32="",Settings!$B$4,R32),"REORDER","OK"))</f>
        <v/>
      </c>
      <c r="T32" s="44">
        <f>IF(OR(A32="",E32="Dropship",J32=""),"",Q32*J32)</f>
        <v/>
      </c>
    </row>
    <row r="33">
      <c r="A33" s="34" t="n"/>
      <c r="B33" s="34" t="n"/>
      <c r="C33" s="34" t="n"/>
      <c r="D33" s="34" t="n"/>
      <c r="E33" s="34" t="n"/>
      <c r="F33" s="36" t="n"/>
      <c r="G33" s="36" t="n"/>
      <c r="H33" s="36" t="n"/>
      <c r="I33" s="36" t="n"/>
      <c r="J33" s="44">
        <f>IF(A33="","",SUM(F33:I33))</f>
        <v/>
      </c>
      <c r="K33" s="36" t="n"/>
      <c r="L33" s="44">
        <f>IF(OR(A33="",K33=""),"",K33-J33)</f>
        <v/>
      </c>
      <c r="M33" s="37">
        <f>IF(OR(A33="",K33="",K33=0),"",L33/K33)</f>
        <v/>
      </c>
      <c r="N33" s="34" t="n"/>
      <c r="O33">
        <f>IF(A33="","",SUMIFS('Stock In'!$C$2:$C$501,'Stock In'!$B$2:$B$501,A33))</f>
        <v/>
      </c>
      <c r="P33">
        <f>IF(A33="","",SUMIFS(Orders!$H$2:$H$501,Orders!$G$2:$G$501,A33,Orders!$K$2:$K$501,"Shipped")+SUMIFS(Orders!$H$2:$H$501,Orders!$G$2:$G$501,A33,Orders!$K$2:$K$501,"Delivered"))</f>
        <v/>
      </c>
      <c r="Q33">
        <f>IF(OR(A33="",E33="Dropship"),"",N(N33)+N(O33)-N(P33))</f>
        <v/>
      </c>
      <c r="R33" s="34" t="n"/>
      <c r="S33">
        <f>IF(OR(A33="",E33="Dropship"),"",IF(Q33&lt;=IF(R33="",Settings!$B$4,R33),"REORDER","OK"))</f>
        <v/>
      </c>
      <c r="T33" s="44">
        <f>IF(OR(A33="",E33="Dropship",J33=""),"",Q33*J33)</f>
        <v/>
      </c>
    </row>
    <row r="34">
      <c r="A34" s="34" t="n"/>
      <c r="B34" s="34" t="n"/>
      <c r="C34" s="34" t="n"/>
      <c r="D34" s="34" t="n"/>
      <c r="E34" s="34" t="n"/>
      <c r="F34" s="36" t="n"/>
      <c r="G34" s="36" t="n"/>
      <c r="H34" s="36" t="n"/>
      <c r="I34" s="36" t="n"/>
      <c r="J34" s="44">
        <f>IF(A34="","",SUM(F34:I34))</f>
        <v/>
      </c>
      <c r="K34" s="36" t="n"/>
      <c r="L34" s="44">
        <f>IF(OR(A34="",K34=""),"",K34-J34)</f>
        <v/>
      </c>
      <c r="M34" s="37">
        <f>IF(OR(A34="",K34="",K34=0),"",L34/K34)</f>
        <v/>
      </c>
      <c r="N34" s="34" t="n"/>
      <c r="O34">
        <f>IF(A34="","",SUMIFS('Stock In'!$C$2:$C$501,'Stock In'!$B$2:$B$501,A34))</f>
        <v/>
      </c>
      <c r="P34">
        <f>IF(A34="","",SUMIFS(Orders!$H$2:$H$501,Orders!$G$2:$G$501,A34,Orders!$K$2:$K$501,"Shipped")+SUMIFS(Orders!$H$2:$H$501,Orders!$G$2:$G$501,A34,Orders!$K$2:$K$501,"Delivered"))</f>
        <v/>
      </c>
      <c r="Q34">
        <f>IF(OR(A34="",E34="Dropship"),"",N(N34)+N(O34)-N(P34))</f>
        <v/>
      </c>
      <c r="R34" s="34" t="n"/>
      <c r="S34">
        <f>IF(OR(A34="",E34="Dropship"),"",IF(Q34&lt;=IF(R34="",Settings!$B$4,R34),"REORDER","OK"))</f>
        <v/>
      </c>
      <c r="T34" s="44">
        <f>IF(OR(A34="",E34="Dropship",J34=""),"",Q34*J34)</f>
        <v/>
      </c>
    </row>
    <row r="35">
      <c r="A35" s="34" t="n"/>
      <c r="B35" s="34" t="n"/>
      <c r="C35" s="34" t="n"/>
      <c r="D35" s="34" t="n"/>
      <c r="E35" s="34" t="n"/>
      <c r="F35" s="36" t="n"/>
      <c r="G35" s="36" t="n"/>
      <c r="H35" s="36" t="n"/>
      <c r="I35" s="36" t="n"/>
      <c r="J35" s="44">
        <f>IF(A35="","",SUM(F35:I35))</f>
        <v/>
      </c>
      <c r="K35" s="36" t="n"/>
      <c r="L35" s="44">
        <f>IF(OR(A35="",K35=""),"",K35-J35)</f>
        <v/>
      </c>
      <c r="M35" s="37">
        <f>IF(OR(A35="",K35="",K35=0),"",L35/K35)</f>
        <v/>
      </c>
      <c r="N35" s="34" t="n"/>
      <c r="O35">
        <f>IF(A35="","",SUMIFS('Stock In'!$C$2:$C$501,'Stock In'!$B$2:$B$501,A35))</f>
        <v/>
      </c>
      <c r="P35">
        <f>IF(A35="","",SUMIFS(Orders!$H$2:$H$501,Orders!$G$2:$G$501,A35,Orders!$K$2:$K$501,"Shipped")+SUMIFS(Orders!$H$2:$H$501,Orders!$G$2:$G$501,A35,Orders!$K$2:$K$501,"Delivered"))</f>
        <v/>
      </c>
      <c r="Q35">
        <f>IF(OR(A35="",E35="Dropship"),"",N(N35)+N(O35)-N(P35))</f>
        <v/>
      </c>
      <c r="R35" s="34" t="n"/>
      <c r="S35">
        <f>IF(OR(A35="",E35="Dropship"),"",IF(Q35&lt;=IF(R35="",Settings!$B$4,R35),"REORDER","OK"))</f>
        <v/>
      </c>
      <c r="T35" s="44">
        <f>IF(OR(A35="",E35="Dropship",J35=""),"",Q35*J35)</f>
        <v/>
      </c>
    </row>
    <row r="36">
      <c r="A36" s="34" t="n"/>
      <c r="B36" s="34" t="n"/>
      <c r="C36" s="34" t="n"/>
      <c r="D36" s="34" t="n"/>
      <c r="E36" s="34" t="n"/>
      <c r="F36" s="36" t="n"/>
      <c r="G36" s="36" t="n"/>
      <c r="H36" s="36" t="n"/>
      <c r="I36" s="36" t="n"/>
      <c r="J36" s="44">
        <f>IF(A36="","",SUM(F36:I36))</f>
        <v/>
      </c>
      <c r="K36" s="36" t="n"/>
      <c r="L36" s="44">
        <f>IF(OR(A36="",K36=""),"",K36-J36)</f>
        <v/>
      </c>
      <c r="M36" s="37">
        <f>IF(OR(A36="",K36="",K36=0),"",L36/K36)</f>
        <v/>
      </c>
      <c r="N36" s="34" t="n"/>
      <c r="O36">
        <f>IF(A36="","",SUMIFS('Stock In'!$C$2:$C$501,'Stock In'!$B$2:$B$501,A36))</f>
        <v/>
      </c>
      <c r="P36">
        <f>IF(A36="","",SUMIFS(Orders!$H$2:$H$501,Orders!$G$2:$G$501,A36,Orders!$K$2:$K$501,"Shipped")+SUMIFS(Orders!$H$2:$H$501,Orders!$G$2:$G$501,A36,Orders!$K$2:$K$501,"Delivered"))</f>
        <v/>
      </c>
      <c r="Q36">
        <f>IF(OR(A36="",E36="Dropship"),"",N(N36)+N(O36)-N(P36))</f>
        <v/>
      </c>
      <c r="R36" s="34" t="n"/>
      <c r="S36">
        <f>IF(OR(A36="",E36="Dropship"),"",IF(Q36&lt;=IF(R36="",Settings!$B$4,R36),"REORDER","OK"))</f>
        <v/>
      </c>
      <c r="T36" s="44">
        <f>IF(OR(A36="",E36="Dropship",J36=""),"",Q36*J36)</f>
        <v/>
      </c>
    </row>
    <row r="37">
      <c r="A37" s="34" t="n"/>
      <c r="B37" s="34" t="n"/>
      <c r="C37" s="34" t="n"/>
      <c r="D37" s="34" t="n"/>
      <c r="E37" s="34" t="n"/>
      <c r="F37" s="36" t="n"/>
      <c r="G37" s="36" t="n"/>
      <c r="H37" s="36" t="n"/>
      <c r="I37" s="36" t="n"/>
      <c r="J37" s="44">
        <f>IF(A37="","",SUM(F37:I37))</f>
        <v/>
      </c>
      <c r="K37" s="36" t="n"/>
      <c r="L37" s="44">
        <f>IF(OR(A37="",K37=""),"",K37-J37)</f>
        <v/>
      </c>
      <c r="M37" s="37">
        <f>IF(OR(A37="",K37="",K37=0),"",L37/K37)</f>
        <v/>
      </c>
      <c r="N37" s="34" t="n"/>
      <c r="O37">
        <f>IF(A37="","",SUMIFS('Stock In'!$C$2:$C$501,'Stock In'!$B$2:$B$501,A37))</f>
        <v/>
      </c>
      <c r="P37">
        <f>IF(A37="","",SUMIFS(Orders!$H$2:$H$501,Orders!$G$2:$G$501,A37,Orders!$K$2:$K$501,"Shipped")+SUMIFS(Orders!$H$2:$H$501,Orders!$G$2:$G$501,A37,Orders!$K$2:$K$501,"Delivered"))</f>
        <v/>
      </c>
      <c r="Q37">
        <f>IF(OR(A37="",E37="Dropship"),"",N(N37)+N(O37)-N(P37))</f>
        <v/>
      </c>
      <c r="R37" s="34" t="n"/>
      <c r="S37">
        <f>IF(OR(A37="",E37="Dropship"),"",IF(Q37&lt;=IF(R37="",Settings!$B$4,R37),"REORDER","OK"))</f>
        <v/>
      </c>
      <c r="T37" s="44">
        <f>IF(OR(A37="",E37="Dropship",J37=""),"",Q37*J37)</f>
        <v/>
      </c>
    </row>
    <row r="38">
      <c r="A38" s="34" t="n"/>
      <c r="B38" s="34" t="n"/>
      <c r="C38" s="34" t="n"/>
      <c r="D38" s="34" t="n"/>
      <c r="E38" s="34" t="n"/>
      <c r="F38" s="36" t="n"/>
      <c r="G38" s="36" t="n"/>
      <c r="H38" s="36" t="n"/>
      <c r="I38" s="36" t="n"/>
      <c r="J38" s="44">
        <f>IF(A38="","",SUM(F38:I38))</f>
        <v/>
      </c>
      <c r="K38" s="36" t="n"/>
      <c r="L38" s="44">
        <f>IF(OR(A38="",K38=""),"",K38-J38)</f>
        <v/>
      </c>
      <c r="M38" s="37">
        <f>IF(OR(A38="",K38="",K38=0),"",L38/K38)</f>
        <v/>
      </c>
      <c r="N38" s="34" t="n"/>
      <c r="O38">
        <f>IF(A38="","",SUMIFS('Stock In'!$C$2:$C$501,'Stock In'!$B$2:$B$501,A38))</f>
        <v/>
      </c>
      <c r="P38">
        <f>IF(A38="","",SUMIFS(Orders!$H$2:$H$501,Orders!$G$2:$G$501,A38,Orders!$K$2:$K$501,"Shipped")+SUMIFS(Orders!$H$2:$H$501,Orders!$G$2:$G$501,A38,Orders!$K$2:$K$501,"Delivered"))</f>
        <v/>
      </c>
      <c r="Q38">
        <f>IF(OR(A38="",E38="Dropship"),"",N(N38)+N(O38)-N(P38))</f>
        <v/>
      </c>
      <c r="R38" s="34" t="n"/>
      <c r="S38">
        <f>IF(OR(A38="",E38="Dropship"),"",IF(Q38&lt;=IF(R38="",Settings!$B$4,R38),"REORDER","OK"))</f>
        <v/>
      </c>
      <c r="T38" s="44">
        <f>IF(OR(A38="",E38="Dropship",J38=""),"",Q38*J38)</f>
        <v/>
      </c>
    </row>
    <row r="39">
      <c r="A39" s="34" t="n"/>
      <c r="B39" s="34" t="n"/>
      <c r="C39" s="34" t="n"/>
      <c r="D39" s="34" t="n"/>
      <c r="E39" s="34" t="n"/>
      <c r="F39" s="36" t="n"/>
      <c r="G39" s="36" t="n"/>
      <c r="H39" s="36" t="n"/>
      <c r="I39" s="36" t="n"/>
      <c r="J39" s="44">
        <f>IF(A39="","",SUM(F39:I39))</f>
        <v/>
      </c>
      <c r="K39" s="36" t="n"/>
      <c r="L39" s="44">
        <f>IF(OR(A39="",K39=""),"",K39-J39)</f>
        <v/>
      </c>
      <c r="M39" s="37">
        <f>IF(OR(A39="",K39="",K39=0),"",L39/K39)</f>
        <v/>
      </c>
      <c r="N39" s="34" t="n"/>
      <c r="O39">
        <f>IF(A39="","",SUMIFS('Stock In'!$C$2:$C$501,'Stock In'!$B$2:$B$501,A39))</f>
        <v/>
      </c>
      <c r="P39">
        <f>IF(A39="","",SUMIFS(Orders!$H$2:$H$501,Orders!$G$2:$G$501,A39,Orders!$K$2:$K$501,"Shipped")+SUMIFS(Orders!$H$2:$H$501,Orders!$G$2:$G$501,A39,Orders!$K$2:$K$501,"Delivered"))</f>
        <v/>
      </c>
      <c r="Q39">
        <f>IF(OR(A39="",E39="Dropship"),"",N(N39)+N(O39)-N(P39))</f>
        <v/>
      </c>
      <c r="R39" s="34" t="n"/>
      <c r="S39">
        <f>IF(OR(A39="",E39="Dropship"),"",IF(Q39&lt;=IF(R39="",Settings!$B$4,R39),"REORDER","OK"))</f>
        <v/>
      </c>
      <c r="T39" s="44">
        <f>IF(OR(A39="",E39="Dropship",J39=""),"",Q39*J39)</f>
        <v/>
      </c>
    </row>
    <row r="40">
      <c r="A40" s="34" t="n"/>
      <c r="B40" s="34" t="n"/>
      <c r="C40" s="34" t="n"/>
      <c r="D40" s="34" t="n"/>
      <c r="E40" s="34" t="n"/>
      <c r="F40" s="36" t="n"/>
      <c r="G40" s="36" t="n"/>
      <c r="H40" s="36" t="n"/>
      <c r="I40" s="36" t="n"/>
      <c r="J40" s="44">
        <f>IF(A40="","",SUM(F40:I40))</f>
        <v/>
      </c>
      <c r="K40" s="36" t="n"/>
      <c r="L40" s="44">
        <f>IF(OR(A40="",K40=""),"",K40-J40)</f>
        <v/>
      </c>
      <c r="M40" s="37">
        <f>IF(OR(A40="",K40="",K40=0),"",L40/K40)</f>
        <v/>
      </c>
      <c r="N40" s="34" t="n"/>
      <c r="O40">
        <f>IF(A40="","",SUMIFS('Stock In'!$C$2:$C$501,'Stock In'!$B$2:$B$501,A40))</f>
        <v/>
      </c>
      <c r="P40">
        <f>IF(A40="","",SUMIFS(Orders!$H$2:$H$501,Orders!$G$2:$G$501,A40,Orders!$K$2:$K$501,"Shipped")+SUMIFS(Orders!$H$2:$H$501,Orders!$G$2:$G$501,A40,Orders!$K$2:$K$501,"Delivered"))</f>
        <v/>
      </c>
      <c r="Q40">
        <f>IF(OR(A40="",E40="Dropship"),"",N(N40)+N(O40)-N(P40))</f>
        <v/>
      </c>
      <c r="R40" s="34" t="n"/>
      <c r="S40">
        <f>IF(OR(A40="",E40="Dropship"),"",IF(Q40&lt;=IF(R40="",Settings!$B$4,R40),"REORDER","OK"))</f>
        <v/>
      </c>
      <c r="T40" s="44">
        <f>IF(OR(A40="",E40="Dropship",J40=""),"",Q40*J40)</f>
        <v/>
      </c>
    </row>
    <row r="41">
      <c r="A41" s="34" t="n"/>
      <c r="B41" s="34" t="n"/>
      <c r="C41" s="34" t="n"/>
      <c r="D41" s="34" t="n"/>
      <c r="E41" s="34" t="n"/>
      <c r="F41" s="36" t="n"/>
      <c r="G41" s="36" t="n"/>
      <c r="H41" s="36" t="n"/>
      <c r="I41" s="36" t="n"/>
      <c r="J41" s="44">
        <f>IF(A41="","",SUM(F41:I41))</f>
        <v/>
      </c>
      <c r="K41" s="36" t="n"/>
      <c r="L41" s="44">
        <f>IF(OR(A41="",K41=""),"",K41-J41)</f>
        <v/>
      </c>
      <c r="M41" s="37">
        <f>IF(OR(A41="",K41="",K41=0),"",L41/K41)</f>
        <v/>
      </c>
      <c r="N41" s="34" t="n"/>
      <c r="O41">
        <f>IF(A41="","",SUMIFS('Stock In'!$C$2:$C$501,'Stock In'!$B$2:$B$501,A41))</f>
        <v/>
      </c>
      <c r="P41">
        <f>IF(A41="","",SUMIFS(Orders!$H$2:$H$501,Orders!$G$2:$G$501,A41,Orders!$K$2:$K$501,"Shipped")+SUMIFS(Orders!$H$2:$H$501,Orders!$G$2:$G$501,A41,Orders!$K$2:$K$501,"Delivered"))</f>
        <v/>
      </c>
      <c r="Q41">
        <f>IF(OR(A41="",E41="Dropship"),"",N(N41)+N(O41)-N(P41))</f>
        <v/>
      </c>
      <c r="R41" s="34" t="n"/>
      <c r="S41">
        <f>IF(OR(A41="",E41="Dropship"),"",IF(Q41&lt;=IF(R41="",Settings!$B$4,R41),"REORDER","OK"))</f>
        <v/>
      </c>
      <c r="T41" s="44">
        <f>IF(OR(A41="",E41="Dropship",J41=""),"",Q41*J41)</f>
        <v/>
      </c>
    </row>
    <row r="42">
      <c r="A42" s="34" t="n"/>
      <c r="B42" s="34" t="n"/>
      <c r="C42" s="34" t="n"/>
      <c r="D42" s="34" t="n"/>
      <c r="E42" s="34" t="n"/>
      <c r="F42" s="36" t="n"/>
      <c r="G42" s="36" t="n"/>
      <c r="H42" s="36" t="n"/>
      <c r="I42" s="36" t="n"/>
      <c r="J42" s="44">
        <f>IF(A42="","",SUM(F42:I42))</f>
        <v/>
      </c>
      <c r="K42" s="36" t="n"/>
      <c r="L42" s="44">
        <f>IF(OR(A42="",K42=""),"",K42-J42)</f>
        <v/>
      </c>
      <c r="M42" s="37">
        <f>IF(OR(A42="",K42="",K42=0),"",L42/K42)</f>
        <v/>
      </c>
      <c r="N42" s="34" t="n"/>
      <c r="O42">
        <f>IF(A42="","",SUMIFS('Stock In'!$C$2:$C$501,'Stock In'!$B$2:$B$501,A42))</f>
        <v/>
      </c>
      <c r="P42">
        <f>IF(A42="","",SUMIFS(Orders!$H$2:$H$501,Orders!$G$2:$G$501,A42,Orders!$K$2:$K$501,"Shipped")+SUMIFS(Orders!$H$2:$H$501,Orders!$G$2:$G$501,A42,Orders!$K$2:$K$501,"Delivered"))</f>
        <v/>
      </c>
      <c r="Q42">
        <f>IF(OR(A42="",E42="Dropship"),"",N(N42)+N(O42)-N(P42))</f>
        <v/>
      </c>
      <c r="R42" s="34" t="n"/>
      <c r="S42">
        <f>IF(OR(A42="",E42="Dropship"),"",IF(Q42&lt;=IF(R42="",Settings!$B$4,R42),"REORDER","OK"))</f>
        <v/>
      </c>
      <c r="T42" s="44">
        <f>IF(OR(A42="",E42="Dropship",J42=""),"",Q42*J42)</f>
        <v/>
      </c>
    </row>
    <row r="43">
      <c r="A43" s="34" t="n"/>
      <c r="B43" s="34" t="n"/>
      <c r="C43" s="34" t="n"/>
      <c r="D43" s="34" t="n"/>
      <c r="E43" s="34" t="n"/>
      <c r="F43" s="36" t="n"/>
      <c r="G43" s="36" t="n"/>
      <c r="H43" s="36" t="n"/>
      <c r="I43" s="36" t="n"/>
      <c r="J43" s="44">
        <f>IF(A43="","",SUM(F43:I43))</f>
        <v/>
      </c>
      <c r="K43" s="36" t="n"/>
      <c r="L43" s="44">
        <f>IF(OR(A43="",K43=""),"",K43-J43)</f>
        <v/>
      </c>
      <c r="M43" s="37">
        <f>IF(OR(A43="",K43="",K43=0),"",L43/K43)</f>
        <v/>
      </c>
      <c r="N43" s="34" t="n"/>
      <c r="O43">
        <f>IF(A43="","",SUMIFS('Stock In'!$C$2:$C$501,'Stock In'!$B$2:$B$501,A43))</f>
        <v/>
      </c>
      <c r="P43">
        <f>IF(A43="","",SUMIFS(Orders!$H$2:$H$501,Orders!$G$2:$G$501,A43,Orders!$K$2:$K$501,"Shipped")+SUMIFS(Orders!$H$2:$H$501,Orders!$G$2:$G$501,A43,Orders!$K$2:$K$501,"Delivered"))</f>
        <v/>
      </c>
      <c r="Q43">
        <f>IF(OR(A43="",E43="Dropship"),"",N(N43)+N(O43)-N(P43))</f>
        <v/>
      </c>
      <c r="R43" s="34" t="n"/>
      <c r="S43">
        <f>IF(OR(A43="",E43="Dropship"),"",IF(Q43&lt;=IF(R43="",Settings!$B$4,R43),"REORDER","OK"))</f>
        <v/>
      </c>
      <c r="T43" s="44">
        <f>IF(OR(A43="",E43="Dropship",J43=""),"",Q43*J43)</f>
        <v/>
      </c>
    </row>
    <row r="44">
      <c r="A44" s="34" t="n"/>
      <c r="B44" s="34" t="n"/>
      <c r="C44" s="34" t="n"/>
      <c r="D44" s="34" t="n"/>
      <c r="E44" s="34" t="n"/>
      <c r="F44" s="36" t="n"/>
      <c r="G44" s="36" t="n"/>
      <c r="H44" s="36" t="n"/>
      <c r="I44" s="36" t="n"/>
      <c r="J44" s="44">
        <f>IF(A44="","",SUM(F44:I44))</f>
        <v/>
      </c>
      <c r="K44" s="36" t="n"/>
      <c r="L44" s="44">
        <f>IF(OR(A44="",K44=""),"",K44-J44)</f>
        <v/>
      </c>
      <c r="M44" s="37">
        <f>IF(OR(A44="",K44="",K44=0),"",L44/K44)</f>
        <v/>
      </c>
      <c r="N44" s="34" t="n"/>
      <c r="O44">
        <f>IF(A44="","",SUMIFS('Stock In'!$C$2:$C$501,'Stock In'!$B$2:$B$501,A44))</f>
        <v/>
      </c>
      <c r="P44">
        <f>IF(A44="","",SUMIFS(Orders!$H$2:$H$501,Orders!$G$2:$G$501,A44,Orders!$K$2:$K$501,"Shipped")+SUMIFS(Orders!$H$2:$H$501,Orders!$G$2:$G$501,A44,Orders!$K$2:$K$501,"Delivered"))</f>
        <v/>
      </c>
      <c r="Q44">
        <f>IF(OR(A44="",E44="Dropship"),"",N(N44)+N(O44)-N(P44))</f>
        <v/>
      </c>
      <c r="R44" s="34" t="n"/>
      <c r="S44">
        <f>IF(OR(A44="",E44="Dropship"),"",IF(Q44&lt;=IF(R44="",Settings!$B$4,R44),"REORDER","OK"))</f>
        <v/>
      </c>
      <c r="T44" s="44">
        <f>IF(OR(A44="",E44="Dropship",J44=""),"",Q44*J44)</f>
        <v/>
      </c>
    </row>
    <row r="45">
      <c r="A45" s="34" t="n"/>
      <c r="B45" s="34" t="n"/>
      <c r="C45" s="34" t="n"/>
      <c r="D45" s="34" t="n"/>
      <c r="E45" s="34" t="n"/>
      <c r="F45" s="36" t="n"/>
      <c r="G45" s="36" t="n"/>
      <c r="H45" s="36" t="n"/>
      <c r="I45" s="36" t="n"/>
      <c r="J45" s="44">
        <f>IF(A45="","",SUM(F45:I45))</f>
        <v/>
      </c>
      <c r="K45" s="36" t="n"/>
      <c r="L45" s="44">
        <f>IF(OR(A45="",K45=""),"",K45-J45)</f>
        <v/>
      </c>
      <c r="M45" s="37">
        <f>IF(OR(A45="",K45="",K45=0),"",L45/K45)</f>
        <v/>
      </c>
      <c r="N45" s="34" t="n"/>
      <c r="O45">
        <f>IF(A45="","",SUMIFS('Stock In'!$C$2:$C$501,'Stock In'!$B$2:$B$501,A45))</f>
        <v/>
      </c>
      <c r="P45">
        <f>IF(A45="","",SUMIFS(Orders!$H$2:$H$501,Orders!$G$2:$G$501,A45,Orders!$K$2:$K$501,"Shipped")+SUMIFS(Orders!$H$2:$H$501,Orders!$G$2:$G$501,A45,Orders!$K$2:$K$501,"Delivered"))</f>
        <v/>
      </c>
      <c r="Q45">
        <f>IF(OR(A45="",E45="Dropship"),"",N(N45)+N(O45)-N(P45))</f>
        <v/>
      </c>
      <c r="R45" s="34" t="n"/>
      <c r="S45">
        <f>IF(OR(A45="",E45="Dropship"),"",IF(Q45&lt;=IF(R45="",Settings!$B$4,R45),"REORDER","OK"))</f>
        <v/>
      </c>
      <c r="T45" s="44">
        <f>IF(OR(A45="",E45="Dropship",J45=""),"",Q45*J45)</f>
        <v/>
      </c>
    </row>
    <row r="46">
      <c r="A46" s="34" t="n"/>
      <c r="B46" s="34" t="n"/>
      <c r="C46" s="34" t="n"/>
      <c r="D46" s="34" t="n"/>
      <c r="E46" s="34" t="n"/>
      <c r="F46" s="36" t="n"/>
      <c r="G46" s="36" t="n"/>
      <c r="H46" s="36" t="n"/>
      <c r="I46" s="36" t="n"/>
      <c r="J46" s="44">
        <f>IF(A46="","",SUM(F46:I46))</f>
        <v/>
      </c>
      <c r="K46" s="36" t="n"/>
      <c r="L46" s="44">
        <f>IF(OR(A46="",K46=""),"",K46-J46)</f>
        <v/>
      </c>
      <c r="M46" s="37">
        <f>IF(OR(A46="",K46="",K46=0),"",L46/K46)</f>
        <v/>
      </c>
      <c r="N46" s="34" t="n"/>
      <c r="O46">
        <f>IF(A46="","",SUMIFS('Stock In'!$C$2:$C$501,'Stock In'!$B$2:$B$501,A46))</f>
        <v/>
      </c>
      <c r="P46">
        <f>IF(A46="","",SUMIFS(Orders!$H$2:$H$501,Orders!$G$2:$G$501,A46,Orders!$K$2:$K$501,"Shipped")+SUMIFS(Orders!$H$2:$H$501,Orders!$G$2:$G$501,A46,Orders!$K$2:$K$501,"Delivered"))</f>
        <v/>
      </c>
      <c r="Q46">
        <f>IF(OR(A46="",E46="Dropship"),"",N(N46)+N(O46)-N(P46))</f>
        <v/>
      </c>
      <c r="R46" s="34" t="n"/>
      <c r="S46">
        <f>IF(OR(A46="",E46="Dropship"),"",IF(Q46&lt;=IF(R46="",Settings!$B$4,R46),"REORDER","OK"))</f>
        <v/>
      </c>
      <c r="T46" s="44">
        <f>IF(OR(A46="",E46="Dropship",J46=""),"",Q46*J46)</f>
        <v/>
      </c>
    </row>
    <row r="47">
      <c r="A47" s="34" t="n"/>
      <c r="B47" s="34" t="n"/>
      <c r="C47" s="34" t="n"/>
      <c r="D47" s="34" t="n"/>
      <c r="E47" s="34" t="n"/>
      <c r="F47" s="36" t="n"/>
      <c r="G47" s="36" t="n"/>
      <c r="H47" s="36" t="n"/>
      <c r="I47" s="36" t="n"/>
      <c r="J47" s="44">
        <f>IF(A47="","",SUM(F47:I47))</f>
        <v/>
      </c>
      <c r="K47" s="36" t="n"/>
      <c r="L47" s="44">
        <f>IF(OR(A47="",K47=""),"",K47-J47)</f>
        <v/>
      </c>
      <c r="M47" s="37">
        <f>IF(OR(A47="",K47="",K47=0),"",L47/K47)</f>
        <v/>
      </c>
      <c r="N47" s="34" t="n"/>
      <c r="O47">
        <f>IF(A47="","",SUMIFS('Stock In'!$C$2:$C$501,'Stock In'!$B$2:$B$501,A47))</f>
        <v/>
      </c>
      <c r="P47">
        <f>IF(A47="","",SUMIFS(Orders!$H$2:$H$501,Orders!$G$2:$G$501,A47,Orders!$K$2:$K$501,"Shipped")+SUMIFS(Orders!$H$2:$H$501,Orders!$G$2:$G$501,A47,Orders!$K$2:$K$501,"Delivered"))</f>
        <v/>
      </c>
      <c r="Q47">
        <f>IF(OR(A47="",E47="Dropship"),"",N(N47)+N(O47)-N(P47))</f>
        <v/>
      </c>
      <c r="R47" s="34" t="n"/>
      <c r="S47">
        <f>IF(OR(A47="",E47="Dropship"),"",IF(Q47&lt;=IF(R47="",Settings!$B$4,R47),"REORDER","OK"))</f>
        <v/>
      </c>
      <c r="T47" s="44">
        <f>IF(OR(A47="",E47="Dropship",J47=""),"",Q47*J47)</f>
        <v/>
      </c>
    </row>
    <row r="48">
      <c r="A48" s="34" t="n"/>
      <c r="B48" s="34" t="n"/>
      <c r="C48" s="34" t="n"/>
      <c r="D48" s="34" t="n"/>
      <c r="E48" s="34" t="n"/>
      <c r="F48" s="36" t="n"/>
      <c r="G48" s="36" t="n"/>
      <c r="H48" s="36" t="n"/>
      <c r="I48" s="36" t="n"/>
      <c r="J48" s="44">
        <f>IF(A48="","",SUM(F48:I48))</f>
        <v/>
      </c>
      <c r="K48" s="36" t="n"/>
      <c r="L48" s="44">
        <f>IF(OR(A48="",K48=""),"",K48-J48)</f>
        <v/>
      </c>
      <c r="M48" s="37">
        <f>IF(OR(A48="",K48="",K48=0),"",L48/K48)</f>
        <v/>
      </c>
      <c r="N48" s="34" t="n"/>
      <c r="O48">
        <f>IF(A48="","",SUMIFS('Stock In'!$C$2:$C$501,'Stock In'!$B$2:$B$501,A48))</f>
        <v/>
      </c>
      <c r="P48">
        <f>IF(A48="","",SUMIFS(Orders!$H$2:$H$501,Orders!$G$2:$G$501,A48,Orders!$K$2:$K$501,"Shipped")+SUMIFS(Orders!$H$2:$H$501,Orders!$G$2:$G$501,A48,Orders!$K$2:$K$501,"Delivered"))</f>
        <v/>
      </c>
      <c r="Q48">
        <f>IF(OR(A48="",E48="Dropship"),"",N(N48)+N(O48)-N(P48))</f>
        <v/>
      </c>
      <c r="R48" s="34" t="n"/>
      <c r="S48">
        <f>IF(OR(A48="",E48="Dropship"),"",IF(Q48&lt;=IF(R48="",Settings!$B$4,R48),"REORDER","OK"))</f>
        <v/>
      </c>
      <c r="T48" s="44">
        <f>IF(OR(A48="",E48="Dropship",J48=""),"",Q48*J48)</f>
        <v/>
      </c>
    </row>
    <row r="49">
      <c r="A49" s="34" t="n"/>
      <c r="B49" s="34" t="n"/>
      <c r="C49" s="34" t="n"/>
      <c r="D49" s="34" t="n"/>
      <c r="E49" s="34" t="n"/>
      <c r="F49" s="36" t="n"/>
      <c r="G49" s="36" t="n"/>
      <c r="H49" s="36" t="n"/>
      <c r="I49" s="36" t="n"/>
      <c r="J49" s="44">
        <f>IF(A49="","",SUM(F49:I49))</f>
        <v/>
      </c>
      <c r="K49" s="36" t="n"/>
      <c r="L49" s="44">
        <f>IF(OR(A49="",K49=""),"",K49-J49)</f>
        <v/>
      </c>
      <c r="M49" s="37">
        <f>IF(OR(A49="",K49="",K49=0),"",L49/K49)</f>
        <v/>
      </c>
      <c r="N49" s="34" t="n"/>
      <c r="O49">
        <f>IF(A49="","",SUMIFS('Stock In'!$C$2:$C$501,'Stock In'!$B$2:$B$501,A49))</f>
        <v/>
      </c>
      <c r="P49">
        <f>IF(A49="","",SUMIFS(Orders!$H$2:$H$501,Orders!$G$2:$G$501,A49,Orders!$K$2:$K$501,"Shipped")+SUMIFS(Orders!$H$2:$H$501,Orders!$G$2:$G$501,A49,Orders!$K$2:$K$501,"Delivered"))</f>
        <v/>
      </c>
      <c r="Q49">
        <f>IF(OR(A49="",E49="Dropship"),"",N(N49)+N(O49)-N(P49))</f>
        <v/>
      </c>
      <c r="R49" s="34" t="n"/>
      <c r="S49">
        <f>IF(OR(A49="",E49="Dropship"),"",IF(Q49&lt;=IF(R49="",Settings!$B$4,R49),"REORDER","OK"))</f>
        <v/>
      </c>
      <c r="T49" s="44">
        <f>IF(OR(A49="",E49="Dropship",J49=""),"",Q49*J49)</f>
        <v/>
      </c>
    </row>
    <row r="50">
      <c r="A50" s="34" t="n"/>
      <c r="B50" s="34" t="n"/>
      <c r="C50" s="34" t="n"/>
      <c r="D50" s="34" t="n"/>
      <c r="E50" s="34" t="n"/>
      <c r="F50" s="36" t="n"/>
      <c r="G50" s="36" t="n"/>
      <c r="H50" s="36" t="n"/>
      <c r="I50" s="36" t="n"/>
      <c r="J50" s="44">
        <f>IF(A50="","",SUM(F50:I50))</f>
        <v/>
      </c>
      <c r="K50" s="36" t="n"/>
      <c r="L50" s="44">
        <f>IF(OR(A50="",K50=""),"",K50-J50)</f>
        <v/>
      </c>
      <c r="M50" s="37">
        <f>IF(OR(A50="",K50="",K50=0),"",L50/K50)</f>
        <v/>
      </c>
      <c r="N50" s="34" t="n"/>
      <c r="O50">
        <f>IF(A50="","",SUMIFS('Stock In'!$C$2:$C$501,'Stock In'!$B$2:$B$501,A50))</f>
        <v/>
      </c>
      <c r="P50">
        <f>IF(A50="","",SUMIFS(Orders!$H$2:$H$501,Orders!$G$2:$G$501,A50,Orders!$K$2:$K$501,"Shipped")+SUMIFS(Orders!$H$2:$H$501,Orders!$G$2:$G$501,A50,Orders!$K$2:$K$501,"Delivered"))</f>
        <v/>
      </c>
      <c r="Q50">
        <f>IF(OR(A50="",E50="Dropship"),"",N(N50)+N(O50)-N(P50))</f>
        <v/>
      </c>
      <c r="R50" s="34" t="n"/>
      <c r="S50">
        <f>IF(OR(A50="",E50="Dropship"),"",IF(Q50&lt;=IF(R50="",Settings!$B$4,R50),"REORDER","OK"))</f>
        <v/>
      </c>
      <c r="T50" s="44">
        <f>IF(OR(A50="",E50="Dropship",J50=""),"",Q50*J50)</f>
        <v/>
      </c>
    </row>
    <row r="51">
      <c r="A51" s="34" t="n"/>
      <c r="B51" s="34" t="n"/>
      <c r="C51" s="34" t="n"/>
      <c r="D51" s="34" t="n"/>
      <c r="E51" s="34" t="n"/>
      <c r="F51" s="36" t="n"/>
      <c r="G51" s="36" t="n"/>
      <c r="H51" s="36" t="n"/>
      <c r="I51" s="36" t="n"/>
      <c r="J51" s="44">
        <f>IF(A51="","",SUM(F51:I51))</f>
        <v/>
      </c>
      <c r="K51" s="36" t="n"/>
      <c r="L51" s="44">
        <f>IF(OR(A51="",K51=""),"",K51-J51)</f>
        <v/>
      </c>
      <c r="M51" s="37">
        <f>IF(OR(A51="",K51="",K51=0),"",L51/K51)</f>
        <v/>
      </c>
      <c r="N51" s="34" t="n"/>
      <c r="O51">
        <f>IF(A51="","",SUMIFS('Stock In'!$C$2:$C$501,'Stock In'!$B$2:$B$501,A51))</f>
        <v/>
      </c>
      <c r="P51">
        <f>IF(A51="","",SUMIFS(Orders!$H$2:$H$501,Orders!$G$2:$G$501,A51,Orders!$K$2:$K$501,"Shipped")+SUMIFS(Orders!$H$2:$H$501,Orders!$G$2:$G$501,A51,Orders!$K$2:$K$501,"Delivered"))</f>
        <v/>
      </c>
      <c r="Q51">
        <f>IF(OR(A51="",E51="Dropship"),"",N(N51)+N(O51)-N(P51))</f>
        <v/>
      </c>
      <c r="R51" s="34" t="n"/>
      <c r="S51">
        <f>IF(OR(A51="",E51="Dropship"),"",IF(Q51&lt;=IF(R51="",Settings!$B$4,R51),"REORDER","OK"))</f>
        <v/>
      </c>
      <c r="T51" s="44">
        <f>IF(OR(A51="",E51="Dropship",J51=""),"",Q51*J51)</f>
        <v/>
      </c>
    </row>
    <row r="52">
      <c r="A52" s="34" t="n"/>
      <c r="B52" s="34" t="n"/>
      <c r="C52" s="34" t="n"/>
      <c r="D52" s="34" t="n"/>
      <c r="E52" s="34" t="n"/>
      <c r="F52" s="36" t="n"/>
      <c r="G52" s="36" t="n"/>
      <c r="H52" s="36" t="n"/>
      <c r="I52" s="36" t="n"/>
      <c r="J52" s="44">
        <f>IF(A52="","",SUM(F52:I52))</f>
        <v/>
      </c>
      <c r="K52" s="36" t="n"/>
      <c r="L52" s="44">
        <f>IF(OR(A52="",K52=""),"",K52-J52)</f>
        <v/>
      </c>
      <c r="M52" s="37">
        <f>IF(OR(A52="",K52="",K52=0),"",L52/K52)</f>
        <v/>
      </c>
      <c r="N52" s="34" t="n"/>
      <c r="O52">
        <f>IF(A52="","",SUMIFS('Stock In'!$C$2:$C$501,'Stock In'!$B$2:$B$501,A52))</f>
        <v/>
      </c>
      <c r="P52">
        <f>IF(A52="","",SUMIFS(Orders!$H$2:$H$501,Orders!$G$2:$G$501,A52,Orders!$K$2:$K$501,"Shipped")+SUMIFS(Orders!$H$2:$H$501,Orders!$G$2:$G$501,A52,Orders!$K$2:$K$501,"Delivered"))</f>
        <v/>
      </c>
      <c r="Q52">
        <f>IF(OR(A52="",E52="Dropship"),"",N(N52)+N(O52)-N(P52))</f>
        <v/>
      </c>
      <c r="R52" s="34" t="n"/>
      <c r="S52">
        <f>IF(OR(A52="",E52="Dropship"),"",IF(Q52&lt;=IF(R52="",Settings!$B$4,R52),"REORDER","OK"))</f>
        <v/>
      </c>
      <c r="T52" s="44">
        <f>IF(OR(A52="",E52="Dropship",J52=""),"",Q52*J52)</f>
        <v/>
      </c>
    </row>
    <row r="53">
      <c r="A53" s="34" t="n"/>
      <c r="B53" s="34" t="n"/>
      <c r="C53" s="34" t="n"/>
      <c r="D53" s="34" t="n"/>
      <c r="E53" s="34" t="n"/>
      <c r="F53" s="36" t="n"/>
      <c r="G53" s="36" t="n"/>
      <c r="H53" s="36" t="n"/>
      <c r="I53" s="36" t="n"/>
      <c r="J53" s="44">
        <f>IF(A53="","",SUM(F53:I53))</f>
        <v/>
      </c>
      <c r="K53" s="36" t="n"/>
      <c r="L53" s="44">
        <f>IF(OR(A53="",K53=""),"",K53-J53)</f>
        <v/>
      </c>
      <c r="M53" s="37">
        <f>IF(OR(A53="",K53="",K53=0),"",L53/K53)</f>
        <v/>
      </c>
      <c r="N53" s="34" t="n"/>
      <c r="O53">
        <f>IF(A53="","",SUMIFS('Stock In'!$C$2:$C$501,'Stock In'!$B$2:$B$501,A53))</f>
        <v/>
      </c>
      <c r="P53">
        <f>IF(A53="","",SUMIFS(Orders!$H$2:$H$501,Orders!$G$2:$G$501,A53,Orders!$K$2:$K$501,"Shipped")+SUMIFS(Orders!$H$2:$H$501,Orders!$G$2:$G$501,A53,Orders!$K$2:$K$501,"Delivered"))</f>
        <v/>
      </c>
      <c r="Q53">
        <f>IF(OR(A53="",E53="Dropship"),"",N(N53)+N(O53)-N(P53))</f>
        <v/>
      </c>
      <c r="R53" s="34" t="n"/>
      <c r="S53">
        <f>IF(OR(A53="",E53="Dropship"),"",IF(Q53&lt;=IF(R53="",Settings!$B$4,R53),"REORDER","OK"))</f>
        <v/>
      </c>
      <c r="T53" s="44">
        <f>IF(OR(A53="",E53="Dropship",J53=""),"",Q53*J53)</f>
        <v/>
      </c>
    </row>
    <row r="54">
      <c r="A54" s="34" t="n"/>
      <c r="B54" s="34" t="n"/>
      <c r="C54" s="34" t="n"/>
      <c r="D54" s="34" t="n"/>
      <c r="E54" s="34" t="n"/>
      <c r="F54" s="36" t="n"/>
      <c r="G54" s="36" t="n"/>
      <c r="H54" s="36" t="n"/>
      <c r="I54" s="36" t="n"/>
      <c r="J54" s="44">
        <f>IF(A54="","",SUM(F54:I54))</f>
        <v/>
      </c>
      <c r="K54" s="36" t="n"/>
      <c r="L54" s="44">
        <f>IF(OR(A54="",K54=""),"",K54-J54)</f>
        <v/>
      </c>
      <c r="M54" s="37">
        <f>IF(OR(A54="",K54="",K54=0),"",L54/K54)</f>
        <v/>
      </c>
      <c r="N54" s="34" t="n"/>
      <c r="O54">
        <f>IF(A54="","",SUMIFS('Stock In'!$C$2:$C$501,'Stock In'!$B$2:$B$501,A54))</f>
        <v/>
      </c>
      <c r="P54">
        <f>IF(A54="","",SUMIFS(Orders!$H$2:$H$501,Orders!$G$2:$G$501,A54,Orders!$K$2:$K$501,"Shipped")+SUMIFS(Orders!$H$2:$H$501,Orders!$G$2:$G$501,A54,Orders!$K$2:$K$501,"Delivered"))</f>
        <v/>
      </c>
      <c r="Q54">
        <f>IF(OR(A54="",E54="Dropship"),"",N(N54)+N(O54)-N(P54))</f>
        <v/>
      </c>
      <c r="R54" s="34" t="n"/>
      <c r="S54">
        <f>IF(OR(A54="",E54="Dropship"),"",IF(Q54&lt;=IF(R54="",Settings!$B$4,R54),"REORDER","OK"))</f>
        <v/>
      </c>
      <c r="T54" s="44">
        <f>IF(OR(A54="",E54="Dropship",J54=""),"",Q54*J54)</f>
        <v/>
      </c>
    </row>
    <row r="55">
      <c r="A55" s="34" t="n"/>
      <c r="B55" s="34" t="n"/>
      <c r="C55" s="34" t="n"/>
      <c r="D55" s="34" t="n"/>
      <c r="E55" s="34" t="n"/>
      <c r="F55" s="36" t="n"/>
      <c r="G55" s="36" t="n"/>
      <c r="H55" s="36" t="n"/>
      <c r="I55" s="36" t="n"/>
      <c r="J55" s="44">
        <f>IF(A55="","",SUM(F55:I55))</f>
        <v/>
      </c>
      <c r="K55" s="36" t="n"/>
      <c r="L55" s="44">
        <f>IF(OR(A55="",K55=""),"",K55-J55)</f>
        <v/>
      </c>
      <c r="M55" s="37">
        <f>IF(OR(A55="",K55="",K55=0),"",L55/K55)</f>
        <v/>
      </c>
      <c r="N55" s="34" t="n"/>
      <c r="O55">
        <f>IF(A55="","",SUMIFS('Stock In'!$C$2:$C$501,'Stock In'!$B$2:$B$501,A55))</f>
        <v/>
      </c>
      <c r="P55">
        <f>IF(A55="","",SUMIFS(Orders!$H$2:$H$501,Orders!$G$2:$G$501,A55,Orders!$K$2:$K$501,"Shipped")+SUMIFS(Orders!$H$2:$H$501,Orders!$G$2:$G$501,A55,Orders!$K$2:$K$501,"Delivered"))</f>
        <v/>
      </c>
      <c r="Q55">
        <f>IF(OR(A55="",E55="Dropship"),"",N(N55)+N(O55)-N(P55))</f>
        <v/>
      </c>
      <c r="R55" s="34" t="n"/>
      <c r="S55">
        <f>IF(OR(A55="",E55="Dropship"),"",IF(Q55&lt;=IF(R55="",Settings!$B$4,R55),"REORDER","OK"))</f>
        <v/>
      </c>
      <c r="T55" s="44">
        <f>IF(OR(A55="",E55="Dropship",J55=""),"",Q55*J55)</f>
        <v/>
      </c>
    </row>
    <row r="56">
      <c r="A56" s="34" t="n"/>
      <c r="B56" s="34" t="n"/>
      <c r="C56" s="34" t="n"/>
      <c r="D56" s="34" t="n"/>
      <c r="E56" s="34" t="n"/>
      <c r="F56" s="36" t="n"/>
      <c r="G56" s="36" t="n"/>
      <c r="H56" s="36" t="n"/>
      <c r="I56" s="36" t="n"/>
      <c r="J56" s="44">
        <f>IF(A56="","",SUM(F56:I56))</f>
        <v/>
      </c>
      <c r="K56" s="36" t="n"/>
      <c r="L56" s="44">
        <f>IF(OR(A56="",K56=""),"",K56-J56)</f>
        <v/>
      </c>
      <c r="M56" s="37">
        <f>IF(OR(A56="",K56="",K56=0),"",L56/K56)</f>
        <v/>
      </c>
      <c r="N56" s="34" t="n"/>
      <c r="O56">
        <f>IF(A56="","",SUMIFS('Stock In'!$C$2:$C$501,'Stock In'!$B$2:$B$501,A56))</f>
        <v/>
      </c>
      <c r="P56">
        <f>IF(A56="","",SUMIFS(Orders!$H$2:$H$501,Orders!$G$2:$G$501,A56,Orders!$K$2:$K$501,"Shipped")+SUMIFS(Orders!$H$2:$H$501,Orders!$G$2:$G$501,A56,Orders!$K$2:$K$501,"Delivered"))</f>
        <v/>
      </c>
      <c r="Q56">
        <f>IF(OR(A56="",E56="Dropship"),"",N(N56)+N(O56)-N(P56))</f>
        <v/>
      </c>
      <c r="R56" s="34" t="n"/>
      <c r="S56">
        <f>IF(OR(A56="",E56="Dropship"),"",IF(Q56&lt;=IF(R56="",Settings!$B$4,R56),"REORDER","OK"))</f>
        <v/>
      </c>
      <c r="T56" s="44">
        <f>IF(OR(A56="",E56="Dropship",J56=""),"",Q56*J56)</f>
        <v/>
      </c>
    </row>
    <row r="57">
      <c r="A57" s="34" t="n"/>
      <c r="B57" s="34" t="n"/>
      <c r="C57" s="34" t="n"/>
      <c r="D57" s="34" t="n"/>
      <c r="E57" s="34" t="n"/>
      <c r="F57" s="36" t="n"/>
      <c r="G57" s="36" t="n"/>
      <c r="H57" s="36" t="n"/>
      <c r="I57" s="36" t="n"/>
      <c r="J57" s="44">
        <f>IF(A57="","",SUM(F57:I57))</f>
        <v/>
      </c>
      <c r="K57" s="36" t="n"/>
      <c r="L57" s="44">
        <f>IF(OR(A57="",K57=""),"",K57-J57)</f>
        <v/>
      </c>
      <c r="M57" s="37">
        <f>IF(OR(A57="",K57="",K57=0),"",L57/K57)</f>
        <v/>
      </c>
      <c r="N57" s="34" t="n"/>
      <c r="O57">
        <f>IF(A57="","",SUMIFS('Stock In'!$C$2:$C$501,'Stock In'!$B$2:$B$501,A57))</f>
        <v/>
      </c>
      <c r="P57">
        <f>IF(A57="","",SUMIFS(Orders!$H$2:$H$501,Orders!$G$2:$G$501,A57,Orders!$K$2:$K$501,"Shipped")+SUMIFS(Orders!$H$2:$H$501,Orders!$G$2:$G$501,A57,Orders!$K$2:$K$501,"Delivered"))</f>
        <v/>
      </c>
      <c r="Q57">
        <f>IF(OR(A57="",E57="Dropship"),"",N(N57)+N(O57)-N(P57))</f>
        <v/>
      </c>
      <c r="R57" s="34" t="n"/>
      <c r="S57">
        <f>IF(OR(A57="",E57="Dropship"),"",IF(Q57&lt;=IF(R57="",Settings!$B$4,R57),"REORDER","OK"))</f>
        <v/>
      </c>
      <c r="T57" s="44">
        <f>IF(OR(A57="",E57="Dropship",J57=""),"",Q57*J57)</f>
        <v/>
      </c>
    </row>
    <row r="58">
      <c r="A58" s="34" t="n"/>
      <c r="B58" s="34" t="n"/>
      <c r="C58" s="34" t="n"/>
      <c r="D58" s="34" t="n"/>
      <c r="E58" s="34" t="n"/>
      <c r="F58" s="36" t="n"/>
      <c r="G58" s="36" t="n"/>
      <c r="H58" s="36" t="n"/>
      <c r="I58" s="36" t="n"/>
      <c r="J58" s="44">
        <f>IF(A58="","",SUM(F58:I58))</f>
        <v/>
      </c>
      <c r="K58" s="36" t="n"/>
      <c r="L58" s="44">
        <f>IF(OR(A58="",K58=""),"",K58-J58)</f>
        <v/>
      </c>
      <c r="M58" s="37">
        <f>IF(OR(A58="",K58="",K58=0),"",L58/K58)</f>
        <v/>
      </c>
      <c r="N58" s="34" t="n"/>
      <c r="O58">
        <f>IF(A58="","",SUMIFS('Stock In'!$C$2:$C$501,'Stock In'!$B$2:$B$501,A58))</f>
        <v/>
      </c>
      <c r="P58">
        <f>IF(A58="","",SUMIFS(Orders!$H$2:$H$501,Orders!$G$2:$G$501,A58,Orders!$K$2:$K$501,"Shipped")+SUMIFS(Orders!$H$2:$H$501,Orders!$G$2:$G$501,A58,Orders!$K$2:$K$501,"Delivered"))</f>
        <v/>
      </c>
      <c r="Q58">
        <f>IF(OR(A58="",E58="Dropship"),"",N(N58)+N(O58)-N(P58))</f>
        <v/>
      </c>
      <c r="R58" s="34" t="n"/>
      <c r="S58">
        <f>IF(OR(A58="",E58="Dropship"),"",IF(Q58&lt;=IF(R58="",Settings!$B$4,R58),"REORDER","OK"))</f>
        <v/>
      </c>
      <c r="T58" s="44">
        <f>IF(OR(A58="",E58="Dropship",J58=""),"",Q58*J58)</f>
        <v/>
      </c>
    </row>
    <row r="59">
      <c r="A59" s="34" t="n"/>
      <c r="B59" s="34" t="n"/>
      <c r="C59" s="34" t="n"/>
      <c r="D59" s="34" t="n"/>
      <c r="E59" s="34" t="n"/>
      <c r="F59" s="36" t="n"/>
      <c r="G59" s="36" t="n"/>
      <c r="H59" s="36" t="n"/>
      <c r="I59" s="36" t="n"/>
      <c r="J59" s="44">
        <f>IF(A59="","",SUM(F59:I59))</f>
        <v/>
      </c>
      <c r="K59" s="36" t="n"/>
      <c r="L59" s="44">
        <f>IF(OR(A59="",K59=""),"",K59-J59)</f>
        <v/>
      </c>
      <c r="M59" s="37">
        <f>IF(OR(A59="",K59="",K59=0),"",L59/K59)</f>
        <v/>
      </c>
      <c r="N59" s="34" t="n"/>
      <c r="O59">
        <f>IF(A59="","",SUMIFS('Stock In'!$C$2:$C$501,'Stock In'!$B$2:$B$501,A59))</f>
        <v/>
      </c>
      <c r="P59">
        <f>IF(A59="","",SUMIFS(Orders!$H$2:$H$501,Orders!$G$2:$G$501,A59,Orders!$K$2:$K$501,"Shipped")+SUMIFS(Orders!$H$2:$H$501,Orders!$G$2:$G$501,A59,Orders!$K$2:$K$501,"Delivered"))</f>
        <v/>
      </c>
      <c r="Q59">
        <f>IF(OR(A59="",E59="Dropship"),"",N(N59)+N(O59)-N(P59))</f>
        <v/>
      </c>
      <c r="R59" s="34" t="n"/>
      <c r="S59">
        <f>IF(OR(A59="",E59="Dropship"),"",IF(Q59&lt;=IF(R59="",Settings!$B$4,R59),"REORDER","OK"))</f>
        <v/>
      </c>
      <c r="T59" s="44">
        <f>IF(OR(A59="",E59="Dropship",J59=""),"",Q59*J59)</f>
        <v/>
      </c>
    </row>
    <row r="60">
      <c r="A60" s="34" t="n"/>
      <c r="B60" s="34" t="n"/>
      <c r="C60" s="34" t="n"/>
      <c r="D60" s="34" t="n"/>
      <c r="E60" s="34" t="n"/>
      <c r="F60" s="36" t="n"/>
      <c r="G60" s="36" t="n"/>
      <c r="H60" s="36" t="n"/>
      <c r="I60" s="36" t="n"/>
      <c r="J60" s="44">
        <f>IF(A60="","",SUM(F60:I60))</f>
        <v/>
      </c>
      <c r="K60" s="36" t="n"/>
      <c r="L60" s="44">
        <f>IF(OR(A60="",K60=""),"",K60-J60)</f>
        <v/>
      </c>
      <c r="M60" s="37">
        <f>IF(OR(A60="",K60="",K60=0),"",L60/K60)</f>
        <v/>
      </c>
      <c r="N60" s="34" t="n"/>
      <c r="O60">
        <f>IF(A60="","",SUMIFS('Stock In'!$C$2:$C$501,'Stock In'!$B$2:$B$501,A60))</f>
        <v/>
      </c>
      <c r="P60">
        <f>IF(A60="","",SUMIFS(Orders!$H$2:$H$501,Orders!$G$2:$G$501,A60,Orders!$K$2:$K$501,"Shipped")+SUMIFS(Orders!$H$2:$H$501,Orders!$G$2:$G$501,A60,Orders!$K$2:$K$501,"Delivered"))</f>
        <v/>
      </c>
      <c r="Q60">
        <f>IF(OR(A60="",E60="Dropship"),"",N(N60)+N(O60)-N(P60))</f>
        <v/>
      </c>
      <c r="R60" s="34" t="n"/>
      <c r="S60">
        <f>IF(OR(A60="",E60="Dropship"),"",IF(Q60&lt;=IF(R60="",Settings!$B$4,R60),"REORDER","OK"))</f>
        <v/>
      </c>
      <c r="T60" s="44">
        <f>IF(OR(A60="",E60="Dropship",J60=""),"",Q60*J60)</f>
        <v/>
      </c>
    </row>
    <row r="61">
      <c r="A61" s="34" t="n"/>
      <c r="B61" s="34" t="n"/>
      <c r="C61" s="34" t="n"/>
      <c r="D61" s="34" t="n"/>
      <c r="E61" s="34" t="n"/>
      <c r="F61" s="36" t="n"/>
      <c r="G61" s="36" t="n"/>
      <c r="H61" s="36" t="n"/>
      <c r="I61" s="36" t="n"/>
      <c r="J61" s="44">
        <f>IF(A61="","",SUM(F61:I61))</f>
        <v/>
      </c>
      <c r="K61" s="36" t="n"/>
      <c r="L61" s="44">
        <f>IF(OR(A61="",K61=""),"",K61-J61)</f>
        <v/>
      </c>
      <c r="M61" s="37">
        <f>IF(OR(A61="",K61="",K61=0),"",L61/K61)</f>
        <v/>
      </c>
      <c r="N61" s="34" t="n"/>
      <c r="O61">
        <f>IF(A61="","",SUMIFS('Stock In'!$C$2:$C$501,'Stock In'!$B$2:$B$501,A61))</f>
        <v/>
      </c>
      <c r="P61">
        <f>IF(A61="","",SUMIFS(Orders!$H$2:$H$501,Orders!$G$2:$G$501,A61,Orders!$K$2:$K$501,"Shipped")+SUMIFS(Orders!$H$2:$H$501,Orders!$G$2:$G$501,A61,Orders!$K$2:$K$501,"Delivered"))</f>
        <v/>
      </c>
      <c r="Q61">
        <f>IF(OR(A61="",E61="Dropship"),"",N(N61)+N(O61)-N(P61))</f>
        <v/>
      </c>
      <c r="R61" s="34" t="n"/>
      <c r="S61">
        <f>IF(OR(A61="",E61="Dropship"),"",IF(Q61&lt;=IF(R61="",Settings!$B$4,R61),"REORDER","OK"))</f>
        <v/>
      </c>
      <c r="T61" s="44">
        <f>IF(OR(A61="",E61="Dropship",J61=""),"",Q61*J61)</f>
        <v/>
      </c>
    </row>
    <row r="62">
      <c r="A62" s="34" t="n"/>
      <c r="B62" s="34" t="n"/>
      <c r="C62" s="34" t="n"/>
      <c r="D62" s="34" t="n"/>
      <c r="E62" s="34" t="n"/>
      <c r="F62" s="36" t="n"/>
      <c r="G62" s="36" t="n"/>
      <c r="H62" s="36" t="n"/>
      <c r="I62" s="36" t="n"/>
      <c r="J62" s="44">
        <f>IF(A62="","",SUM(F62:I62))</f>
        <v/>
      </c>
      <c r="K62" s="36" t="n"/>
      <c r="L62" s="44">
        <f>IF(OR(A62="",K62=""),"",K62-J62)</f>
        <v/>
      </c>
      <c r="M62" s="37">
        <f>IF(OR(A62="",K62="",K62=0),"",L62/K62)</f>
        <v/>
      </c>
      <c r="N62" s="34" t="n"/>
      <c r="O62">
        <f>IF(A62="","",SUMIFS('Stock In'!$C$2:$C$501,'Stock In'!$B$2:$B$501,A62))</f>
        <v/>
      </c>
      <c r="P62">
        <f>IF(A62="","",SUMIFS(Orders!$H$2:$H$501,Orders!$G$2:$G$501,A62,Orders!$K$2:$K$501,"Shipped")+SUMIFS(Orders!$H$2:$H$501,Orders!$G$2:$G$501,A62,Orders!$K$2:$K$501,"Delivered"))</f>
        <v/>
      </c>
      <c r="Q62">
        <f>IF(OR(A62="",E62="Dropship"),"",N(N62)+N(O62)-N(P62))</f>
        <v/>
      </c>
      <c r="R62" s="34" t="n"/>
      <c r="S62">
        <f>IF(OR(A62="",E62="Dropship"),"",IF(Q62&lt;=IF(R62="",Settings!$B$4,R62),"REORDER","OK"))</f>
        <v/>
      </c>
      <c r="T62" s="44">
        <f>IF(OR(A62="",E62="Dropship",J62=""),"",Q62*J62)</f>
        <v/>
      </c>
    </row>
    <row r="63">
      <c r="A63" s="34" t="n"/>
      <c r="B63" s="34" t="n"/>
      <c r="C63" s="34" t="n"/>
      <c r="D63" s="34" t="n"/>
      <c r="E63" s="34" t="n"/>
      <c r="F63" s="36" t="n"/>
      <c r="G63" s="36" t="n"/>
      <c r="H63" s="36" t="n"/>
      <c r="I63" s="36" t="n"/>
      <c r="J63" s="44">
        <f>IF(A63="","",SUM(F63:I63))</f>
        <v/>
      </c>
      <c r="K63" s="36" t="n"/>
      <c r="L63" s="44">
        <f>IF(OR(A63="",K63=""),"",K63-J63)</f>
        <v/>
      </c>
      <c r="M63" s="37">
        <f>IF(OR(A63="",K63="",K63=0),"",L63/K63)</f>
        <v/>
      </c>
      <c r="N63" s="34" t="n"/>
      <c r="O63">
        <f>IF(A63="","",SUMIFS('Stock In'!$C$2:$C$501,'Stock In'!$B$2:$B$501,A63))</f>
        <v/>
      </c>
      <c r="P63">
        <f>IF(A63="","",SUMIFS(Orders!$H$2:$H$501,Orders!$G$2:$G$501,A63,Orders!$K$2:$K$501,"Shipped")+SUMIFS(Orders!$H$2:$H$501,Orders!$G$2:$G$501,A63,Orders!$K$2:$K$501,"Delivered"))</f>
        <v/>
      </c>
      <c r="Q63">
        <f>IF(OR(A63="",E63="Dropship"),"",N(N63)+N(O63)-N(P63))</f>
        <v/>
      </c>
      <c r="R63" s="34" t="n"/>
      <c r="S63">
        <f>IF(OR(A63="",E63="Dropship"),"",IF(Q63&lt;=IF(R63="",Settings!$B$4,R63),"REORDER","OK"))</f>
        <v/>
      </c>
      <c r="T63" s="44">
        <f>IF(OR(A63="",E63="Dropship",J63=""),"",Q63*J63)</f>
        <v/>
      </c>
    </row>
    <row r="64">
      <c r="A64" s="34" t="n"/>
      <c r="B64" s="34" t="n"/>
      <c r="C64" s="34" t="n"/>
      <c r="D64" s="34" t="n"/>
      <c r="E64" s="34" t="n"/>
      <c r="F64" s="36" t="n"/>
      <c r="G64" s="36" t="n"/>
      <c r="H64" s="36" t="n"/>
      <c r="I64" s="36" t="n"/>
      <c r="J64" s="44">
        <f>IF(A64="","",SUM(F64:I64))</f>
        <v/>
      </c>
      <c r="K64" s="36" t="n"/>
      <c r="L64" s="44">
        <f>IF(OR(A64="",K64=""),"",K64-J64)</f>
        <v/>
      </c>
      <c r="M64" s="37">
        <f>IF(OR(A64="",K64="",K64=0),"",L64/K64)</f>
        <v/>
      </c>
      <c r="N64" s="34" t="n"/>
      <c r="O64">
        <f>IF(A64="","",SUMIFS('Stock In'!$C$2:$C$501,'Stock In'!$B$2:$B$501,A64))</f>
        <v/>
      </c>
      <c r="P64">
        <f>IF(A64="","",SUMIFS(Orders!$H$2:$H$501,Orders!$G$2:$G$501,A64,Orders!$K$2:$K$501,"Shipped")+SUMIFS(Orders!$H$2:$H$501,Orders!$G$2:$G$501,A64,Orders!$K$2:$K$501,"Delivered"))</f>
        <v/>
      </c>
      <c r="Q64">
        <f>IF(OR(A64="",E64="Dropship"),"",N(N64)+N(O64)-N(P64))</f>
        <v/>
      </c>
      <c r="R64" s="34" t="n"/>
      <c r="S64">
        <f>IF(OR(A64="",E64="Dropship"),"",IF(Q64&lt;=IF(R64="",Settings!$B$4,R64),"REORDER","OK"))</f>
        <v/>
      </c>
      <c r="T64" s="44">
        <f>IF(OR(A64="",E64="Dropship",J64=""),"",Q64*J64)</f>
        <v/>
      </c>
    </row>
    <row r="65">
      <c r="A65" s="34" t="n"/>
      <c r="B65" s="34" t="n"/>
      <c r="C65" s="34" t="n"/>
      <c r="D65" s="34" t="n"/>
      <c r="E65" s="34" t="n"/>
      <c r="F65" s="36" t="n"/>
      <c r="G65" s="36" t="n"/>
      <c r="H65" s="36" t="n"/>
      <c r="I65" s="36" t="n"/>
      <c r="J65" s="44">
        <f>IF(A65="","",SUM(F65:I65))</f>
        <v/>
      </c>
      <c r="K65" s="36" t="n"/>
      <c r="L65" s="44">
        <f>IF(OR(A65="",K65=""),"",K65-J65)</f>
        <v/>
      </c>
      <c r="M65" s="37">
        <f>IF(OR(A65="",K65="",K65=0),"",L65/K65)</f>
        <v/>
      </c>
      <c r="N65" s="34" t="n"/>
      <c r="O65">
        <f>IF(A65="","",SUMIFS('Stock In'!$C$2:$C$501,'Stock In'!$B$2:$B$501,A65))</f>
        <v/>
      </c>
      <c r="P65">
        <f>IF(A65="","",SUMIFS(Orders!$H$2:$H$501,Orders!$G$2:$G$501,A65,Orders!$K$2:$K$501,"Shipped")+SUMIFS(Orders!$H$2:$H$501,Orders!$G$2:$G$501,A65,Orders!$K$2:$K$501,"Delivered"))</f>
        <v/>
      </c>
      <c r="Q65">
        <f>IF(OR(A65="",E65="Dropship"),"",N(N65)+N(O65)-N(P65))</f>
        <v/>
      </c>
      <c r="R65" s="34" t="n"/>
      <c r="S65">
        <f>IF(OR(A65="",E65="Dropship"),"",IF(Q65&lt;=IF(R65="",Settings!$B$4,R65),"REORDER","OK"))</f>
        <v/>
      </c>
      <c r="T65" s="44">
        <f>IF(OR(A65="",E65="Dropship",J65=""),"",Q65*J65)</f>
        <v/>
      </c>
    </row>
    <row r="66">
      <c r="A66" s="34" t="n"/>
      <c r="B66" s="34" t="n"/>
      <c r="C66" s="34" t="n"/>
      <c r="D66" s="34" t="n"/>
      <c r="E66" s="34" t="n"/>
      <c r="F66" s="36" t="n"/>
      <c r="G66" s="36" t="n"/>
      <c r="H66" s="36" t="n"/>
      <c r="I66" s="36" t="n"/>
      <c r="J66" s="44">
        <f>IF(A66="","",SUM(F66:I66))</f>
        <v/>
      </c>
      <c r="K66" s="36" t="n"/>
      <c r="L66" s="44">
        <f>IF(OR(A66="",K66=""),"",K66-J66)</f>
        <v/>
      </c>
      <c r="M66" s="37">
        <f>IF(OR(A66="",K66="",K66=0),"",L66/K66)</f>
        <v/>
      </c>
      <c r="N66" s="34" t="n"/>
      <c r="O66">
        <f>IF(A66="","",SUMIFS('Stock In'!$C$2:$C$501,'Stock In'!$B$2:$B$501,A66))</f>
        <v/>
      </c>
      <c r="P66">
        <f>IF(A66="","",SUMIFS(Orders!$H$2:$H$501,Orders!$G$2:$G$501,A66,Orders!$K$2:$K$501,"Shipped")+SUMIFS(Orders!$H$2:$H$501,Orders!$G$2:$G$501,A66,Orders!$K$2:$K$501,"Delivered"))</f>
        <v/>
      </c>
      <c r="Q66">
        <f>IF(OR(A66="",E66="Dropship"),"",N(N66)+N(O66)-N(P66))</f>
        <v/>
      </c>
      <c r="R66" s="34" t="n"/>
      <c r="S66">
        <f>IF(OR(A66="",E66="Dropship"),"",IF(Q66&lt;=IF(R66="",Settings!$B$4,R66),"REORDER","OK"))</f>
        <v/>
      </c>
      <c r="T66" s="44">
        <f>IF(OR(A66="",E66="Dropship",J66=""),"",Q66*J66)</f>
        <v/>
      </c>
    </row>
    <row r="67">
      <c r="A67" s="34" t="n"/>
      <c r="B67" s="34" t="n"/>
      <c r="C67" s="34" t="n"/>
      <c r="D67" s="34" t="n"/>
      <c r="E67" s="34" t="n"/>
      <c r="F67" s="36" t="n"/>
      <c r="G67" s="36" t="n"/>
      <c r="H67" s="36" t="n"/>
      <c r="I67" s="36" t="n"/>
      <c r="J67" s="44">
        <f>IF(A67="","",SUM(F67:I67))</f>
        <v/>
      </c>
      <c r="K67" s="36" t="n"/>
      <c r="L67" s="44">
        <f>IF(OR(A67="",K67=""),"",K67-J67)</f>
        <v/>
      </c>
      <c r="M67" s="37">
        <f>IF(OR(A67="",K67="",K67=0),"",L67/K67)</f>
        <v/>
      </c>
      <c r="N67" s="34" t="n"/>
      <c r="O67">
        <f>IF(A67="","",SUMIFS('Stock In'!$C$2:$C$501,'Stock In'!$B$2:$B$501,A67))</f>
        <v/>
      </c>
      <c r="P67">
        <f>IF(A67="","",SUMIFS(Orders!$H$2:$H$501,Orders!$G$2:$G$501,A67,Orders!$K$2:$K$501,"Shipped")+SUMIFS(Orders!$H$2:$H$501,Orders!$G$2:$G$501,A67,Orders!$K$2:$K$501,"Delivered"))</f>
        <v/>
      </c>
      <c r="Q67">
        <f>IF(OR(A67="",E67="Dropship"),"",N(N67)+N(O67)-N(P67))</f>
        <v/>
      </c>
      <c r="R67" s="34" t="n"/>
      <c r="S67">
        <f>IF(OR(A67="",E67="Dropship"),"",IF(Q67&lt;=IF(R67="",Settings!$B$4,R67),"REORDER","OK"))</f>
        <v/>
      </c>
      <c r="T67" s="44">
        <f>IF(OR(A67="",E67="Dropship",J67=""),"",Q67*J67)</f>
        <v/>
      </c>
    </row>
    <row r="68">
      <c r="A68" s="34" t="n"/>
      <c r="B68" s="34" t="n"/>
      <c r="C68" s="34" t="n"/>
      <c r="D68" s="34" t="n"/>
      <c r="E68" s="34" t="n"/>
      <c r="F68" s="36" t="n"/>
      <c r="G68" s="36" t="n"/>
      <c r="H68" s="36" t="n"/>
      <c r="I68" s="36" t="n"/>
      <c r="J68" s="44">
        <f>IF(A68="","",SUM(F68:I68))</f>
        <v/>
      </c>
      <c r="K68" s="36" t="n"/>
      <c r="L68" s="44">
        <f>IF(OR(A68="",K68=""),"",K68-J68)</f>
        <v/>
      </c>
      <c r="M68" s="37">
        <f>IF(OR(A68="",K68="",K68=0),"",L68/K68)</f>
        <v/>
      </c>
      <c r="N68" s="34" t="n"/>
      <c r="O68">
        <f>IF(A68="","",SUMIFS('Stock In'!$C$2:$C$501,'Stock In'!$B$2:$B$501,A68))</f>
        <v/>
      </c>
      <c r="P68">
        <f>IF(A68="","",SUMIFS(Orders!$H$2:$H$501,Orders!$G$2:$G$501,A68,Orders!$K$2:$K$501,"Shipped")+SUMIFS(Orders!$H$2:$H$501,Orders!$G$2:$G$501,A68,Orders!$K$2:$K$501,"Delivered"))</f>
        <v/>
      </c>
      <c r="Q68">
        <f>IF(OR(A68="",E68="Dropship"),"",N(N68)+N(O68)-N(P68))</f>
        <v/>
      </c>
      <c r="R68" s="34" t="n"/>
      <c r="S68">
        <f>IF(OR(A68="",E68="Dropship"),"",IF(Q68&lt;=IF(R68="",Settings!$B$4,R68),"REORDER","OK"))</f>
        <v/>
      </c>
      <c r="T68" s="44">
        <f>IF(OR(A68="",E68="Dropship",J68=""),"",Q68*J68)</f>
        <v/>
      </c>
    </row>
    <row r="69">
      <c r="A69" s="34" t="n"/>
      <c r="B69" s="34" t="n"/>
      <c r="C69" s="34" t="n"/>
      <c r="D69" s="34" t="n"/>
      <c r="E69" s="34" t="n"/>
      <c r="F69" s="36" t="n"/>
      <c r="G69" s="36" t="n"/>
      <c r="H69" s="36" t="n"/>
      <c r="I69" s="36" t="n"/>
      <c r="J69" s="44">
        <f>IF(A69="","",SUM(F69:I69))</f>
        <v/>
      </c>
      <c r="K69" s="36" t="n"/>
      <c r="L69" s="44">
        <f>IF(OR(A69="",K69=""),"",K69-J69)</f>
        <v/>
      </c>
      <c r="M69" s="37">
        <f>IF(OR(A69="",K69="",K69=0),"",L69/K69)</f>
        <v/>
      </c>
      <c r="N69" s="34" t="n"/>
      <c r="O69">
        <f>IF(A69="","",SUMIFS('Stock In'!$C$2:$C$501,'Stock In'!$B$2:$B$501,A69))</f>
        <v/>
      </c>
      <c r="P69">
        <f>IF(A69="","",SUMIFS(Orders!$H$2:$H$501,Orders!$G$2:$G$501,A69,Orders!$K$2:$K$501,"Shipped")+SUMIFS(Orders!$H$2:$H$501,Orders!$G$2:$G$501,A69,Orders!$K$2:$K$501,"Delivered"))</f>
        <v/>
      </c>
      <c r="Q69">
        <f>IF(OR(A69="",E69="Dropship"),"",N(N69)+N(O69)-N(P69))</f>
        <v/>
      </c>
      <c r="R69" s="34" t="n"/>
      <c r="S69">
        <f>IF(OR(A69="",E69="Dropship"),"",IF(Q69&lt;=IF(R69="",Settings!$B$4,R69),"REORDER","OK"))</f>
        <v/>
      </c>
      <c r="T69" s="44">
        <f>IF(OR(A69="",E69="Dropship",J69=""),"",Q69*J69)</f>
        <v/>
      </c>
    </row>
    <row r="70">
      <c r="A70" s="34" t="n"/>
      <c r="B70" s="34" t="n"/>
      <c r="C70" s="34" t="n"/>
      <c r="D70" s="34" t="n"/>
      <c r="E70" s="34" t="n"/>
      <c r="F70" s="36" t="n"/>
      <c r="G70" s="36" t="n"/>
      <c r="H70" s="36" t="n"/>
      <c r="I70" s="36" t="n"/>
      <c r="J70" s="44">
        <f>IF(A70="","",SUM(F70:I70))</f>
        <v/>
      </c>
      <c r="K70" s="36" t="n"/>
      <c r="L70" s="44">
        <f>IF(OR(A70="",K70=""),"",K70-J70)</f>
        <v/>
      </c>
      <c r="M70" s="37">
        <f>IF(OR(A70="",K70="",K70=0),"",L70/K70)</f>
        <v/>
      </c>
      <c r="N70" s="34" t="n"/>
      <c r="O70">
        <f>IF(A70="","",SUMIFS('Stock In'!$C$2:$C$501,'Stock In'!$B$2:$B$501,A70))</f>
        <v/>
      </c>
      <c r="P70">
        <f>IF(A70="","",SUMIFS(Orders!$H$2:$H$501,Orders!$G$2:$G$501,A70,Orders!$K$2:$K$501,"Shipped")+SUMIFS(Orders!$H$2:$H$501,Orders!$G$2:$G$501,A70,Orders!$K$2:$K$501,"Delivered"))</f>
        <v/>
      </c>
      <c r="Q70">
        <f>IF(OR(A70="",E70="Dropship"),"",N(N70)+N(O70)-N(P70))</f>
        <v/>
      </c>
      <c r="R70" s="34" t="n"/>
      <c r="S70">
        <f>IF(OR(A70="",E70="Dropship"),"",IF(Q70&lt;=IF(R70="",Settings!$B$4,R70),"REORDER","OK"))</f>
        <v/>
      </c>
      <c r="T70" s="44">
        <f>IF(OR(A70="",E70="Dropship",J70=""),"",Q70*J70)</f>
        <v/>
      </c>
    </row>
    <row r="71">
      <c r="A71" s="34" t="n"/>
      <c r="B71" s="34" t="n"/>
      <c r="C71" s="34" t="n"/>
      <c r="D71" s="34" t="n"/>
      <c r="E71" s="34" t="n"/>
      <c r="F71" s="36" t="n"/>
      <c r="G71" s="36" t="n"/>
      <c r="H71" s="36" t="n"/>
      <c r="I71" s="36" t="n"/>
      <c r="J71" s="44">
        <f>IF(A71="","",SUM(F71:I71))</f>
        <v/>
      </c>
      <c r="K71" s="36" t="n"/>
      <c r="L71" s="44">
        <f>IF(OR(A71="",K71=""),"",K71-J71)</f>
        <v/>
      </c>
      <c r="M71" s="37">
        <f>IF(OR(A71="",K71="",K71=0),"",L71/K71)</f>
        <v/>
      </c>
      <c r="N71" s="34" t="n"/>
      <c r="O71">
        <f>IF(A71="","",SUMIFS('Stock In'!$C$2:$C$501,'Stock In'!$B$2:$B$501,A71))</f>
        <v/>
      </c>
      <c r="P71">
        <f>IF(A71="","",SUMIFS(Orders!$H$2:$H$501,Orders!$G$2:$G$501,A71,Orders!$K$2:$K$501,"Shipped")+SUMIFS(Orders!$H$2:$H$501,Orders!$G$2:$G$501,A71,Orders!$K$2:$K$501,"Delivered"))</f>
        <v/>
      </c>
      <c r="Q71">
        <f>IF(OR(A71="",E71="Dropship"),"",N(N71)+N(O71)-N(P71))</f>
        <v/>
      </c>
      <c r="R71" s="34" t="n"/>
      <c r="S71">
        <f>IF(OR(A71="",E71="Dropship"),"",IF(Q71&lt;=IF(R71="",Settings!$B$4,R71),"REORDER","OK"))</f>
        <v/>
      </c>
      <c r="T71" s="44">
        <f>IF(OR(A71="",E71="Dropship",J71=""),"",Q71*J71)</f>
        <v/>
      </c>
    </row>
    <row r="72">
      <c r="A72" s="34" t="n"/>
      <c r="B72" s="34" t="n"/>
      <c r="C72" s="34" t="n"/>
      <c r="D72" s="34" t="n"/>
      <c r="E72" s="34" t="n"/>
      <c r="F72" s="36" t="n"/>
      <c r="G72" s="36" t="n"/>
      <c r="H72" s="36" t="n"/>
      <c r="I72" s="36" t="n"/>
      <c r="J72" s="44">
        <f>IF(A72="","",SUM(F72:I72))</f>
        <v/>
      </c>
      <c r="K72" s="36" t="n"/>
      <c r="L72" s="44">
        <f>IF(OR(A72="",K72=""),"",K72-J72)</f>
        <v/>
      </c>
      <c r="M72" s="37">
        <f>IF(OR(A72="",K72="",K72=0),"",L72/K72)</f>
        <v/>
      </c>
      <c r="N72" s="34" t="n"/>
      <c r="O72">
        <f>IF(A72="","",SUMIFS('Stock In'!$C$2:$C$501,'Stock In'!$B$2:$B$501,A72))</f>
        <v/>
      </c>
      <c r="P72">
        <f>IF(A72="","",SUMIFS(Orders!$H$2:$H$501,Orders!$G$2:$G$501,A72,Orders!$K$2:$K$501,"Shipped")+SUMIFS(Orders!$H$2:$H$501,Orders!$G$2:$G$501,A72,Orders!$K$2:$K$501,"Delivered"))</f>
        <v/>
      </c>
      <c r="Q72">
        <f>IF(OR(A72="",E72="Dropship"),"",N(N72)+N(O72)-N(P72))</f>
        <v/>
      </c>
      <c r="R72" s="34" t="n"/>
      <c r="S72">
        <f>IF(OR(A72="",E72="Dropship"),"",IF(Q72&lt;=IF(R72="",Settings!$B$4,R72),"REORDER","OK"))</f>
        <v/>
      </c>
      <c r="T72" s="44">
        <f>IF(OR(A72="",E72="Dropship",J72=""),"",Q72*J72)</f>
        <v/>
      </c>
    </row>
    <row r="73">
      <c r="A73" s="34" t="n"/>
      <c r="B73" s="34" t="n"/>
      <c r="C73" s="34" t="n"/>
      <c r="D73" s="34" t="n"/>
      <c r="E73" s="34" t="n"/>
      <c r="F73" s="36" t="n"/>
      <c r="G73" s="36" t="n"/>
      <c r="H73" s="36" t="n"/>
      <c r="I73" s="36" t="n"/>
      <c r="J73" s="44">
        <f>IF(A73="","",SUM(F73:I73))</f>
        <v/>
      </c>
      <c r="K73" s="36" t="n"/>
      <c r="L73" s="44">
        <f>IF(OR(A73="",K73=""),"",K73-J73)</f>
        <v/>
      </c>
      <c r="M73" s="37">
        <f>IF(OR(A73="",K73="",K73=0),"",L73/K73)</f>
        <v/>
      </c>
      <c r="N73" s="34" t="n"/>
      <c r="O73">
        <f>IF(A73="","",SUMIFS('Stock In'!$C$2:$C$501,'Stock In'!$B$2:$B$501,A73))</f>
        <v/>
      </c>
      <c r="P73">
        <f>IF(A73="","",SUMIFS(Orders!$H$2:$H$501,Orders!$G$2:$G$501,A73,Orders!$K$2:$K$501,"Shipped")+SUMIFS(Orders!$H$2:$H$501,Orders!$G$2:$G$501,A73,Orders!$K$2:$K$501,"Delivered"))</f>
        <v/>
      </c>
      <c r="Q73">
        <f>IF(OR(A73="",E73="Dropship"),"",N(N73)+N(O73)-N(P73))</f>
        <v/>
      </c>
      <c r="R73" s="34" t="n"/>
      <c r="S73">
        <f>IF(OR(A73="",E73="Dropship"),"",IF(Q73&lt;=IF(R73="",Settings!$B$4,R73),"REORDER","OK"))</f>
        <v/>
      </c>
      <c r="T73" s="44">
        <f>IF(OR(A73="",E73="Dropship",J73=""),"",Q73*J73)</f>
        <v/>
      </c>
    </row>
    <row r="74">
      <c r="A74" s="34" t="n"/>
      <c r="B74" s="34" t="n"/>
      <c r="C74" s="34" t="n"/>
      <c r="D74" s="34" t="n"/>
      <c r="E74" s="34" t="n"/>
      <c r="F74" s="36" t="n"/>
      <c r="G74" s="36" t="n"/>
      <c r="H74" s="36" t="n"/>
      <c r="I74" s="36" t="n"/>
      <c r="J74" s="44">
        <f>IF(A74="","",SUM(F74:I74))</f>
        <v/>
      </c>
      <c r="K74" s="36" t="n"/>
      <c r="L74" s="44">
        <f>IF(OR(A74="",K74=""),"",K74-J74)</f>
        <v/>
      </c>
      <c r="M74" s="37">
        <f>IF(OR(A74="",K74="",K74=0),"",L74/K74)</f>
        <v/>
      </c>
      <c r="N74" s="34" t="n"/>
      <c r="O74">
        <f>IF(A74="","",SUMIFS('Stock In'!$C$2:$C$501,'Stock In'!$B$2:$B$501,A74))</f>
        <v/>
      </c>
      <c r="P74">
        <f>IF(A74="","",SUMIFS(Orders!$H$2:$H$501,Orders!$G$2:$G$501,A74,Orders!$K$2:$K$501,"Shipped")+SUMIFS(Orders!$H$2:$H$501,Orders!$G$2:$G$501,A74,Orders!$K$2:$K$501,"Delivered"))</f>
        <v/>
      </c>
      <c r="Q74">
        <f>IF(OR(A74="",E74="Dropship"),"",N(N74)+N(O74)-N(P74))</f>
        <v/>
      </c>
      <c r="R74" s="34" t="n"/>
      <c r="S74">
        <f>IF(OR(A74="",E74="Dropship"),"",IF(Q74&lt;=IF(R74="",Settings!$B$4,R74),"REORDER","OK"))</f>
        <v/>
      </c>
      <c r="T74" s="44">
        <f>IF(OR(A74="",E74="Dropship",J74=""),"",Q74*J74)</f>
        <v/>
      </c>
    </row>
    <row r="75">
      <c r="A75" s="34" t="n"/>
      <c r="B75" s="34" t="n"/>
      <c r="C75" s="34" t="n"/>
      <c r="D75" s="34" t="n"/>
      <c r="E75" s="34" t="n"/>
      <c r="F75" s="36" t="n"/>
      <c r="G75" s="36" t="n"/>
      <c r="H75" s="36" t="n"/>
      <c r="I75" s="36" t="n"/>
      <c r="J75" s="44">
        <f>IF(A75="","",SUM(F75:I75))</f>
        <v/>
      </c>
      <c r="K75" s="36" t="n"/>
      <c r="L75" s="44">
        <f>IF(OR(A75="",K75=""),"",K75-J75)</f>
        <v/>
      </c>
      <c r="M75" s="37">
        <f>IF(OR(A75="",K75="",K75=0),"",L75/K75)</f>
        <v/>
      </c>
      <c r="N75" s="34" t="n"/>
      <c r="O75">
        <f>IF(A75="","",SUMIFS('Stock In'!$C$2:$C$501,'Stock In'!$B$2:$B$501,A75))</f>
        <v/>
      </c>
      <c r="P75">
        <f>IF(A75="","",SUMIFS(Orders!$H$2:$H$501,Orders!$G$2:$G$501,A75,Orders!$K$2:$K$501,"Shipped")+SUMIFS(Orders!$H$2:$H$501,Orders!$G$2:$G$501,A75,Orders!$K$2:$K$501,"Delivered"))</f>
        <v/>
      </c>
      <c r="Q75">
        <f>IF(OR(A75="",E75="Dropship"),"",N(N75)+N(O75)-N(P75))</f>
        <v/>
      </c>
      <c r="R75" s="34" t="n"/>
      <c r="S75">
        <f>IF(OR(A75="",E75="Dropship"),"",IF(Q75&lt;=IF(R75="",Settings!$B$4,R75),"REORDER","OK"))</f>
        <v/>
      </c>
      <c r="T75" s="44">
        <f>IF(OR(A75="",E75="Dropship",J75=""),"",Q75*J75)</f>
        <v/>
      </c>
    </row>
    <row r="76">
      <c r="A76" s="34" t="n"/>
      <c r="B76" s="34" t="n"/>
      <c r="C76" s="34" t="n"/>
      <c r="D76" s="34" t="n"/>
      <c r="E76" s="34" t="n"/>
      <c r="F76" s="36" t="n"/>
      <c r="G76" s="36" t="n"/>
      <c r="H76" s="36" t="n"/>
      <c r="I76" s="36" t="n"/>
      <c r="J76" s="44">
        <f>IF(A76="","",SUM(F76:I76))</f>
        <v/>
      </c>
      <c r="K76" s="36" t="n"/>
      <c r="L76" s="44">
        <f>IF(OR(A76="",K76=""),"",K76-J76)</f>
        <v/>
      </c>
      <c r="M76" s="37">
        <f>IF(OR(A76="",K76="",K76=0),"",L76/K76)</f>
        <v/>
      </c>
      <c r="N76" s="34" t="n"/>
      <c r="O76">
        <f>IF(A76="","",SUMIFS('Stock In'!$C$2:$C$501,'Stock In'!$B$2:$B$501,A76))</f>
        <v/>
      </c>
      <c r="P76">
        <f>IF(A76="","",SUMIFS(Orders!$H$2:$H$501,Orders!$G$2:$G$501,A76,Orders!$K$2:$K$501,"Shipped")+SUMIFS(Orders!$H$2:$H$501,Orders!$G$2:$G$501,A76,Orders!$K$2:$K$501,"Delivered"))</f>
        <v/>
      </c>
      <c r="Q76">
        <f>IF(OR(A76="",E76="Dropship"),"",N(N76)+N(O76)-N(P76))</f>
        <v/>
      </c>
      <c r="R76" s="34" t="n"/>
      <c r="S76">
        <f>IF(OR(A76="",E76="Dropship"),"",IF(Q76&lt;=IF(R76="",Settings!$B$4,R76),"REORDER","OK"))</f>
        <v/>
      </c>
      <c r="T76" s="44">
        <f>IF(OR(A76="",E76="Dropship",J76=""),"",Q76*J76)</f>
        <v/>
      </c>
    </row>
    <row r="77">
      <c r="A77" s="34" t="n"/>
      <c r="B77" s="34" t="n"/>
      <c r="C77" s="34" t="n"/>
      <c r="D77" s="34" t="n"/>
      <c r="E77" s="34" t="n"/>
      <c r="F77" s="36" t="n"/>
      <c r="G77" s="36" t="n"/>
      <c r="H77" s="36" t="n"/>
      <c r="I77" s="36" t="n"/>
      <c r="J77" s="44">
        <f>IF(A77="","",SUM(F77:I77))</f>
        <v/>
      </c>
      <c r="K77" s="36" t="n"/>
      <c r="L77" s="44">
        <f>IF(OR(A77="",K77=""),"",K77-J77)</f>
        <v/>
      </c>
      <c r="M77" s="37">
        <f>IF(OR(A77="",K77="",K77=0),"",L77/K77)</f>
        <v/>
      </c>
      <c r="N77" s="34" t="n"/>
      <c r="O77">
        <f>IF(A77="","",SUMIFS('Stock In'!$C$2:$C$501,'Stock In'!$B$2:$B$501,A77))</f>
        <v/>
      </c>
      <c r="P77">
        <f>IF(A77="","",SUMIFS(Orders!$H$2:$H$501,Orders!$G$2:$G$501,A77,Orders!$K$2:$K$501,"Shipped")+SUMIFS(Orders!$H$2:$H$501,Orders!$G$2:$G$501,A77,Orders!$K$2:$K$501,"Delivered"))</f>
        <v/>
      </c>
      <c r="Q77">
        <f>IF(OR(A77="",E77="Dropship"),"",N(N77)+N(O77)-N(P77))</f>
        <v/>
      </c>
      <c r="R77" s="34" t="n"/>
      <c r="S77">
        <f>IF(OR(A77="",E77="Dropship"),"",IF(Q77&lt;=IF(R77="",Settings!$B$4,R77),"REORDER","OK"))</f>
        <v/>
      </c>
      <c r="T77" s="44">
        <f>IF(OR(A77="",E77="Dropship",J77=""),"",Q77*J77)</f>
        <v/>
      </c>
    </row>
    <row r="78">
      <c r="A78" s="34" t="n"/>
      <c r="B78" s="34" t="n"/>
      <c r="C78" s="34" t="n"/>
      <c r="D78" s="34" t="n"/>
      <c r="E78" s="34" t="n"/>
      <c r="F78" s="36" t="n"/>
      <c r="G78" s="36" t="n"/>
      <c r="H78" s="36" t="n"/>
      <c r="I78" s="36" t="n"/>
      <c r="J78" s="44">
        <f>IF(A78="","",SUM(F78:I78))</f>
        <v/>
      </c>
      <c r="K78" s="36" t="n"/>
      <c r="L78" s="44">
        <f>IF(OR(A78="",K78=""),"",K78-J78)</f>
        <v/>
      </c>
      <c r="M78" s="37">
        <f>IF(OR(A78="",K78="",K78=0),"",L78/K78)</f>
        <v/>
      </c>
      <c r="N78" s="34" t="n"/>
      <c r="O78">
        <f>IF(A78="","",SUMIFS('Stock In'!$C$2:$C$501,'Stock In'!$B$2:$B$501,A78))</f>
        <v/>
      </c>
      <c r="P78">
        <f>IF(A78="","",SUMIFS(Orders!$H$2:$H$501,Orders!$G$2:$G$501,A78,Orders!$K$2:$K$501,"Shipped")+SUMIFS(Orders!$H$2:$H$501,Orders!$G$2:$G$501,A78,Orders!$K$2:$K$501,"Delivered"))</f>
        <v/>
      </c>
      <c r="Q78">
        <f>IF(OR(A78="",E78="Dropship"),"",N(N78)+N(O78)-N(P78))</f>
        <v/>
      </c>
      <c r="R78" s="34" t="n"/>
      <c r="S78">
        <f>IF(OR(A78="",E78="Dropship"),"",IF(Q78&lt;=IF(R78="",Settings!$B$4,R78),"REORDER","OK"))</f>
        <v/>
      </c>
      <c r="T78" s="44">
        <f>IF(OR(A78="",E78="Dropship",J78=""),"",Q78*J78)</f>
        <v/>
      </c>
    </row>
    <row r="79">
      <c r="A79" s="34" t="n"/>
      <c r="B79" s="34" t="n"/>
      <c r="C79" s="34" t="n"/>
      <c r="D79" s="34" t="n"/>
      <c r="E79" s="34" t="n"/>
      <c r="F79" s="36" t="n"/>
      <c r="G79" s="36" t="n"/>
      <c r="H79" s="36" t="n"/>
      <c r="I79" s="36" t="n"/>
      <c r="J79" s="44">
        <f>IF(A79="","",SUM(F79:I79))</f>
        <v/>
      </c>
      <c r="K79" s="36" t="n"/>
      <c r="L79" s="44">
        <f>IF(OR(A79="",K79=""),"",K79-J79)</f>
        <v/>
      </c>
      <c r="M79" s="37">
        <f>IF(OR(A79="",K79="",K79=0),"",L79/K79)</f>
        <v/>
      </c>
      <c r="N79" s="34" t="n"/>
      <c r="O79">
        <f>IF(A79="","",SUMIFS('Stock In'!$C$2:$C$501,'Stock In'!$B$2:$B$501,A79))</f>
        <v/>
      </c>
      <c r="P79">
        <f>IF(A79="","",SUMIFS(Orders!$H$2:$H$501,Orders!$G$2:$G$501,A79,Orders!$K$2:$K$501,"Shipped")+SUMIFS(Orders!$H$2:$H$501,Orders!$G$2:$G$501,A79,Orders!$K$2:$K$501,"Delivered"))</f>
        <v/>
      </c>
      <c r="Q79">
        <f>IF(OR(A79="",E79="Dropship"),"",N(N79)+N(O79)-N(P79))</f>
        <v/>
      </c>
      <c r="R79" s="34" t="n"/>
      <c r="S79">
        <f>IF(OR(A79="",E79="Dropship"),"",IF(Q79&lt;=IF(R79="",Settings!$B$4,R79),"REORDER","OK"))</f>
        <v/>
      </c>
      <c r="T79" s="44">
        <f>IF(OR(A79="",E79="Dropship",J79=""),"",Q79*J79)</f>
        <v/>
      </c>
    </row>
    <row r="80">
      <c r="A80" s="34" t="n"/>
      <c r="B80" s="34" t="n"/>
      <c r="C80" s="34" t="n"/>
      <c r="D80" s="34" t="n"/>
      <c r="E80" s="34" t="n"/>
      <c r="F80" s="36" t="n"/>
      <c r="G80" s="36" t="n"/>
      <c r="H80" s="36" t="n"/>
      <c r="I80" s="36" t="n"/>
      <c r="J80" s="44">
        <f>IF(A80="","",SUM(F80:I80))</f>
        <v/>
      </c>
      <c r="K80" s="36" t="n"/>
      <c r="L80" s="44">
        <f>IF(OR(A80="",K80=""),"",K80-J80)</f>
        <v/>
      </c>
      <c r="M80" s="37">
        <f>IF(OR(A80="",K80="",K80=0),"",L80/K80)</f>
        <v/>
      </c>
      <c r="N80" s="34" t="n"/>
      <c r="O80">
        <f>IF(A80="","",SUMIFS('Stock In'!$C$2:$C$501,'Stock In'!$B$2:$B$501,A80))</f>
        <v/>
      </c>
      <c r="P80">
        <f>IF(A80="","",SUMIFS(Orders!$H$2:$H$501,Orders!$G$2:$G$501,A80,Orders!$K$2:$K$501,"Shipped")+SUMIFS(Orders!$H$2:$H$501,Orders!$G$2:$G$501,A80,Orders!$K$2:$K$501,"Delivered"))</f>
        <v/>
      </c>
      <c r="Q80">
        <f>IF(OR(A80="",E80="Dropship"),"",N(N80)+N(O80)-N(P80))</f>
        <v/>
      </c>
      <c r="R80" s="34" t="n"/>
      <c r="S80">
        <f>IF(OR(A80="",E80="Dropship"),"",IF(Q80&lt;=IF(R80="",Settings!$B$4,R80),"REORDER","OK"))</f>
        <v/>
      </c>
      <c r="T80" s="44">
        <f>IF(OR(A80="",E80="Dropship",J80=""),"",Q80*J80)</f>
        <v/>
      </c>
    </row>
    <row r="81">
      <c r="A81" s="34" t="n"/>
      <c r="B81" s="34" t="n"/>
      <c r="C81" s="34" t="n"/>
      <c r="D81" s="34" t="n"/>
      <c r="E81" s="34" t="n"/>
      <c r="F81" s="36" t="n"/>
      <c r="G81" s="36" t="n"/>
      <c r="H81" s="36" t="n"/>
      <c r="I81" s="36" t="n"/>
      <c r="J81" s="44">
        <f>IF(A81="","",SUM(F81:I81))</f>
        <v/>
      </c>
      <c r="K81" s="36" t="n"/>
      <c r="L81" s="44">
        <f>IF(OR(A81="",K81=""),"",K81-J81)</f>
        <v/>
      </c>
      <c r="M81" s="37">
        <f>IF(OR(A81="",K81="",K81=0),"",L81/K81)</f>
        <v/>
      </c>
      <c r="N81" s="34" t="n"/>
      <c r="O81">
        <f>IF(A81="","",SUMIFS('Stock In'!$C$2:$C$501,'Stock In'!$B$2:$B$501,A81))</f>
        <v/>
      </c>
      <c r="P81">
        <f>IF(A81="","",SUMIFS(Orders!$H$2:$H$501,Orders!$G$2:$G$501,A81,Orders!$K$2:$K$501,"Shipped")+SUMIFS(Orders!$H$2:$H$501,Orders!$G$2:$G$501,A81,Orders!$K$2:$K$501,"Delivered"))</f>
        <v/>
      </c>
      <c r="Q81">
        <f>IF(OR(A81="",E81="Dropship"),"",N(N81)+N(O81)-N(P81))</f>
        <v/>
      </c>
      <c r="R81" s="34" t="n"/>
      <c r="S81">
        <f>IF(OR(A81="",E81="Dropship"),"",IF(Q81&lt;=IF(R81="",Settings!$B$4,R81),"REORDER","OK"))</f>
        <v/>
      </c>
      <c r="T81" s="44">
        <f>IF(OR(A81="",E81="Dropship",J81=""),"",Q81*J81)</f>
        <v/>
      </c>
    </row>
    <row r="82">
      <c r="A82" s="34" t="n"/>
      <c r="B82" s="34" t="n"/>
      <c r="C82" s="34" t="n"/>
      <c r="D82" s="34" t="n"/>
      <c r="E82" s="34" t="n"/>
      <c r="F82" s="36" t="n"/>
      <c r="G82" s="36" t="n"/>
      <c r="H82" s="36" t="n"/>
      <c r="I82" s="36" t="n"/>
      <c r="J82" s="44">
        <f>IF(A82="","",SUM(F82:I82))</f>
        <v/>
      </c>
      <c r="K82" s="36" t="n"/>
      <c r="L82" s="44">
        <f>IF(OR(A82="",K82=""),"",K82-J82)</f>
        <v/>
      </c>
      <c r="M82" s="37">
        <f>IF(OR(A82="",K82="",K82=0),"",L82/K82)</f>
        <v/>
      </c>
      <c r="N82" s="34" t="n"/>
      <c r="O82">
        <f>IF(A82="","",SUMIFS('Stock In'!$C$2:$C$501,'Stock In'!$B$2:$B$501,A82))</f>
        <v/>
      </c>
      <c r="P82">
        <f>IF(A82="","",SUMIFS(Orders!$H$2:$H$501,Orders!$G$2:$G$501,A82,Orders!$K$2:$K$501,"Shipped")+SUMIFS(Orders!$H$2:$H$501,Orders!$G$2:$G$501,A82,Orders!$K$2:$K$501,"Delivered"))</f>
        <v/>
      </c>
      <c r="Q82">
        <f>IF(OR(A82="",E82="Dropship"),"",N(N82)+N(O82)-N(P82))</f>
        <v/>
      </c>
      <c r="R82" s="34" t="n"/>
      <c r="S82">
        <f>IF(OR(A82="",E82="Dropship"),"",IF(Q82&lt;=IF(R82="",Settings!$B$4,R82),"REORDER","OK"))</f>
        <v/>
      </c>
      <c r="T82" s="44">
        <f>IF(OR(A82="",E82="Dropship",J82=""),"",Q82*J82)</f>
        <v/>
      </c>
    </row>
    <row r="83">
      <c r="A83" s="34" t="n"/>
      <c r="B83" s="34" t="n"/>
      <c r="C83" s="34" t="n"/>
      <c r="D83" s="34" t="n"/>
      <c r="E83" s="34" t="n"/>
      <c r="F83" s="36" t="n"/>
      <c r="G83" s="36" t="n"/>
      <c r="H83" s="36" t="n"/>
      <c r="I83" s="36" t="n"/>
      <c r="J83" s="44">
        <f>IF(A83="","",SUM(F83:I83))</f>
        <v/>
      </c>
      <c r="K83" s="36" t="n"/>
      <c r="L83" s="44">
        <f>IF(OR(A83="",K83=""),"",K83-J83)</f>
        <v/>
      </c>
      <c r="M83" s="37">
        <f>IF(OR(A83="",K83="",K83=0),"",L83/K83)</f>
        <v/>
      </c>
      <c r="N83" s="34" t="n"/>
      <c r="O83">
        <f>IF(A83="","",SUMIFS('Stock In'!$C$2:$C$501,'Stock In'!$B$2:$B$501,A83))</f>
        <v/>
      </c>
      <c r="P83">
        <f>IF(A83="","",SUMIFS(Orders!$H$2:$H$501,Orders!$G$2:$G$501,A83,Orders!$K$2:$K$501,"Shipped")+SUMIFS(Orders!$H$2:$H$501,Orders!$G$2:$G$501,A83,Orders!$K$2:$K$501,"Delivered"))</f>
        <v/>
      </c>
      <c r="Q83">
        <f>IF(OR(A83="",E83="Dropship"),"",N(N83)+N(O83)-N(P83))</f>
        <v/>
      </c>
      <c r="R83" s="34" t="n"/>
      <c r="S83">
        <f>IF(OR(A83="",E83="Dropship"),"",IF(Q83&lt;=IF(R83="",Settings!$B$4,R83),"REORDER","OK"))</f>
        <v/>
      </c>
      <c r="T83" s="44">
        <f>IF(OR(A83="",E83="Dropship",J83=""),"",Q83*J83)</f>
        <v/>
      </c>
    </row>
    <row r="84">
      <c r="A84" s="34" t="n"/>
      <c r="B84" s="34" t="n"/>
      <c r="C84" s="34" t="n"/>
      <c r="D84" s="34" t="n"/>
      <c r="E84" s="34" t="n"/>
      <c r="F84" s="36" t="n"/>
      <c r="G84" s="36" t="n"/>
      <c r="H84" s="36" t="n"/>
      <c r="I84" s="36" t="n"/>
      <c r="J84" s="44">
        <f>IF(A84="","",SUM(F84:I84))</f>
        <v/>
      </c>
      <c r="K84" s="36" t="n"/>
      <c r="L84" s="44">
        <f>IF(OR(A84="",K84=""),"",K84-J84)</f>
        <v/>
      </c>
      <c r="M84" s="37">
        <f>IF(OR(A84="",K84="",K84=0),"",L84/K84)</f>
        <v/>
      </c>
      <c r="N84" s="34" t="n"/>
      <c r="O84">
        <f>IF(A84="","",SUMIFS('Stock In'!$C$2:$C$501,'Stock In'!$B$2:$B$501,A84))</f>
        <v/>
      </c>
      <c r="P84">
        <f>IF(A84="","",SUMIFS(Orders!$H$2:$H$501,Orders!$G$2:$G$501,A84,Orders!$K$2:$K$501,"Shipped")+SUMIFS(Orders!$H$2:$H$501,Orders!$G$2:$G$501,A84,Orders!$K$2:$K$501,"Delivered"))</f>
        <v/>
      </c>
      <c r="Q84">
        <f>IF(OR(A84="",E84="Dropship"),"",N(N84)+N(O84)-N(P84))</f>
        <v/>
      </c>
      <c r="R84" s="34" t="n"/>
      <c r="S84">
        <f>IF(OR(A84="",E84="Dropship"),"",IF(Q84&lt;=IF(R84="",Settings!$B$4,R84),"REORDER","OK"))</f>
        <v/>
      </c>
      <c r="T84" s="44">
        <f>IF(OR(A84="",E84="Dropship",J84=""),"",Q84*J84)</f>
        <v/>
      </c>
    </row>
    <row r="85">
      <c r="A85" s="34" t="n"/>
      <c r="B85" s="34" t="n"/>
      <c r="C85" s="34" t="n"/>
      <c r="D85" s="34" t="n"/>
      <c r="E85" s="34" t="n"/>
      <c r="F85" s="36" t="n"/>
      <c r="G85" s="36" t="n"/>
      <c r="H85" s="36" t="n"/>
      <c r="I85" s="36" t="n"/>
      <c r="J85" s="44">
        <f>IF(A85="","",SUM(F85:I85))</f>
        <v/>
      </c>
      <c r="K85" s="36" t="n"/>
      <c r="L85" s="44">
        <f>IF(OR(A85="",K85=""),"",K85-J85)</f>
        <v/>
      </c>
      <c r="M85" s="37">
        <f>IF(OR(A85="",K85="",K85=0),"",L85/K85)</f>
        <v/>
      </c>
      <c r="N85" s="34" t="n"/>
      <c r="O85">
        <f>IF(A85="","",SUMIFS('Stock In'!$C$2:$C$501,'Stock In'!$B$2:$B$501,A85))</f>
        <v/>
      </c>
      <c r="P85">
        <f>IF(A85="","",SUMIFS(Orders!$H$2:$H$501,Orders!$G$2:$G$501,A85,Orders!$K$2:$K$501,"Shipped")+SUMIFS(Orders!$H$2:$H$501,Orders!$G$2:$G$501,A85,Orders!$K$2:$K$501,"Delivered"))</f>
        <v/>
      </c>
      <c r="Q85">
        <f>IF(OR(A85="",E85="Dropship"),"",N(N85)+N(O85)-N(P85))</f>
        <v/>
      </c>
      <c r="R85" s="34" t="n"/>
      <c r="S85">
        <f>IF(OR(A85="",E85="Dropship"),"",IF(Q85&lt;=IF(R85="",Settings!$B$4,R85),"REORDER","OK"))</f>
        <v/>
      </c>
      <c r="T85" s="44">
        <f>IF(OR(A85="",E85="Dropship",J85=""),"",Q85*J85)</f>
        <v/>
      </c>
    </row>
    <row r="86">
      <c r="A86" s="34" t="n"/>
      <c r="B86" s="34" t="n"/>
      <c r="C86" s="34" t="n"/>
      <c r="D86" s="34" t="n"/>
      <c r="E86" s="34" t="n"/>
      <c r="F86" s="36" t="n"/>
      <c r="G86" s="36" t="n"/>
      <c r="H86" s="36" t="n"/>
      <c r="I86" s="36" t="n"/>
      <c r="J86" s="44">
        <f>IF(A86="","",SUM(F86:I86))</f>
        <v/>
      </c>
      <c r="K86" s="36" t="n"/>
      <c r="L86" s="44">
        <f>IF(OR(A86="",K86=""),"",K86-J86)</f>
        <v/>
      </c>
      <c r="M86" s="37">
        <f>IF(OR(A86="",K86="",K86=0),"",L86/K86)</f>
        <v/>
      </c>
      <c r="N86" s="34" t="n"/>
      <c r="O86">
        <f>IF(A86="","",SUMIFS('Stock In'!$C$2:$C$501,'Stock In'!$B$2:$B$501,A86))</f>
        <v/>
      </c>
      <c r="P86">
        <f>IF(A86="","",SUMIFS(Orders!$H$2:$H$501,Orders!$G$2:$G$501,A86,Orders!$K$2:$K$501,"Shipped")+SUMIFS(Orders!$H$2:$H$501,Orders!$G$2:$G$501,A86,Orders!$K$2:$K$501,"Delivered"))</f>
        <v/>
      </c>
      <c r="Q86">
        <f>IF(OR(A86="",E86="Dropship"),"",N(N86)+N(O86)-N(P86))</f>
        <v/>
      </c>
      <c r="R86" s="34" t="n"/>
      <c r="S86">
        <f>IF(OR(A86="",E86="Dropship"),"",IF(Q86&lt;=IF(R86="",Settings!$B$4,R86),"REORDER","OK"))</f>
        <v/>
      </c>
      <c r="T86" s="44">
        <f>IF(OR(A86="",E86="Dropship",J86=""),"",Q86*J86)</f>
        <v/>
      </c>
    </row>
    <row r="87">
      <c r="A87" s="34" t="n"/>
      <c r="B87" s="34" t="n"/>
      <c r="C87" s="34" t="n"/>
      <c r="D87" s="34" t="n"/>
      <c r="E87" s="34" t="n"/>
      <c r="F87" s="36" t="n"/>
      <c r="G87" s="36" t="n"/>
      <c r="H87" s="36" t="n"/>
      <c r="I87" s="36" t="n"/>
      <c r="J87" s="44">
        <f>IF(A87="","",SUM(F87:I87))</f>
        <v/>
      </c>
      <c r="K87" s="36" t="n"/>
      <c r="L87" s="44">
        <f>IF(OR(A87="",K87=""),"",K87-J87)</f>
        <v/>
      </c>
      <c r="M87" s="37">
        <f>IF(OR(A87="",K87="",K87=0),"",L87/K87)</f>
        <v/>
      </c>
      <c r="N87" s="34" t="n"/>
      <c r="O87">
        <f>IF(A87="","",SUMIFS('Stock In'!$C$2:$C$501,'Stock In'!$B$2:$B$501,A87))</f>
        <v/>
      </c>
      <c r="P87">
        <f>IF(A87="","",SUMIFS(Orders!$H$2:$H$501,Orders!$G$2:$G$501,A87,Orders!$K$2:$K$501,"Shipped")+SUMIFS(Orders!$H$2:$H$501,Orders!$G$2:$G$501,A87,Orders!$K$2:$K$501,"Delivered"))</f>
        <v/>
      </c>
      <c r="Q87">
        <f>IF(OR(A87="",E87="Dropship"),"",N(N87)+N(O87)-N(P87))</f>
        <v/>
      </c>
      <c r="R87" s="34" t="n"/>
      <c r="S87">
        <f>IF(OR(A87="",E87="Dropship"),"",IF(Q87&lt;=IF(R87="",Settings!$B$4,R87),"REORDER","OK"))</f>
        <v/>
      </c>
      <c r="T87" s="44">
        <f>IF(OR(A87="",E87="Dropship",J87=""),"",Q87*J87)</f>
        <v/>
      </c>
    </row>
    <row r="88">
      <c r="A88" s="34" t="n"/>
      <c r="B88" s="34" t="n"/>
      <c r="C88" s="34" t="n"/>
      <c r="D88" s="34" t="n"/>
      <c r="E88" s="34" t="n"/>
      <c r="F88" s="36" t="n"/>
      <c r="G88" s="36" t="n"/>
      <c r="H88" s="36" t="n"/>
      <c r="I88" s="36" t="n"/>
      <c r="J88" s="44">
        <f>IF(A88="","",SUM(F88:I88))</f>
        <v/>
      </c>
      <c r="K88" s="36" t="n"/>
      <c r="L88" s="44">
        <f>IF(OR(A88="",K88=""),"",K88-J88)</f>
        <v/>
      </c>
      <c r="M88" s="37">
        <f>IF(OR(A88="",K88="",K88=0),"",L88/K88)</f>
        <v/>
      </c>
      <c r="N88" s="34" t="n"/>
      <c r="O88">
        <f>IF(A88="","",SUMIFS('Stock In'!$C$2:$C$501,'Stock In'!$B$2:$B$501,A88))</f>
        <v/>
      </c>
      <c r="P88">
        <f>IF(A88="","",SUMIFS(Orders!$H$2:$H$501,Orders!$G$2:$G$501,A88,Orders!$K$2:$K$501,"Shipped")+SUMIFS(Orders!$H$2:$H$501,Orders!$G$2:$G$501,A88,Orders!$K$2:$K$501,"Delivered"))</f>
        <v/>
      </c>
      <c r="Q88">
        <f>IF(OR(A88="",E88="Dropship"),"",N(N88)+N(O88)-N(P88))</f>
        <v/>
      </c>
      <c r="R88" s="34" t="n"/>
      <c r="S88">
        <f>IF(OR(A88="",E88="Dropship"),"",IF(Q88&lt;=IF(R88="",Settings!$B$4,R88),"REORDER","OK"))</f>
        <v/>
      </c>
      <c r="T88" s="44">
        <f>IF(OR(A88="",E88="Dropship",J88=""),"",Q88*J88)</f>
        <v/>
      </c>
    </row>
    <row r="89">
      <c r="A89" s="34" t="n"/>
      <c r="B89" s="34" t="n"/>
      <c r="C89" s="34" t="n"/>
      <c r="D89" s="34" t="n"/>
      <c r="E89" s="34" t="n"/>
      <c r="F89" s="36" t="n"/>
      <c r="G89" s="36" t="n"/>
      <c r="H89" s="36" t="n"/>
      <c r="I89" s="36" t="n"/>
      <c r="J89" s="44">
        <f>IF(A89="","",SUM(F89:I89))</f>
        <v/>
      </c>
      <c r="K89" s="36" t="n"/>
      <c r="L89" s="44">
        <f>IF(OR(A89="",K89=""),"",K89-J89)</f>
        <v/>
      </c>
      <c r="M89" s="37">
        <f>IF(OR(A89="",K89="",K89=0),"",L89/K89)</f>
        <v/>
      </c>
      <c r="N89" s="34" t="n"/>
      <c r="O89">
        <f>IF(A89="","",SUMIFS('Stock In'!$C$2:$C$501,'Stock In'!$B$2:$B$501,A89))</f>
        <v/>
      </c>
      <c r="P89">
        <f>IF(A89="","",SUMIFS(Orders!$H$2:$H$501,Orders!$G$2:$G$501,A89,Orders!$K$2:$K$501,"Shipped")+SUMIFS(Orders!$H$2:$H$501,Orders!$G$2:$G$501,A89,Orders!$K$2:$K$501,"Delivered"))</f>
        <v/>
      </c>
      <c r="Q89">
        <f>IF(OR(A89="",E89="Dropship"),"",N(N89)+N(O89)-N(P89))</f>
        <v/>
      </c>
      <c r="R89" s="34" t="n"/>
      <c r="S89">
        <f>IF(OR(A89="",E89="Dropship"),"",IF(Q89&lt;=IF(R89="",Settings!$B$4,R89),"REORDER","OK"))</f>
        <v/>
      </c>
      <c r="T89" s="44">
        <f>IF(OR(A89="",E89="Dropship",J89=""),"",Q89*J89)</f>
        <v/>
      </c>
    </row>
    <row r="90">
      <c r="A90" s="34" t="n"/>
      <c r="B90" s="34" t="n"/>
      <c r="C90" s="34" t="n"/>
      <c r="D90" s="34" t="n"/>
      <c r="E90" s="34" t="n"/>
      <c r="F90" s="36" t="n"/>
      <c r="G90" s="36" t="n"/>
      <c r="H90" s="36" t="n"/>
      <c r="I90" s="36" t="n"/>
      <c r="J90" s="44">
        <f>IF(A90="","",SUM(F90:I90))</f>
        <v/>
      </c>
      <c r="K90" s="36" t="n"/>
      <c r="L90" s="44">
        <f>IF(OR(A90="",K90=""),"",K90-J90)</f>
        <v/>
      </c>
      <c r="M90" s="37">
        <f>IF(OR(A90="",K90="",K90=0),"",L90/K90)</f>
        <v/>
      </c>
      <c r="N90" s="34" t="n"/>
      <c r="O90">
        <f>IF(A90="","",SUMIFS('Stock In'!$C$2:$C$501,'Stock In'!$B$2:$B$501,A90))</f>
        <v/>
      </c>
      <c r="P90">
        <f>IF(A90="","",SUMIFS(Orders!$H$2:$H$501,Orders!$G$2:$G$501,A90,Orders!$K$2:$K$501,"Shipped")+SUMIFS(Orders!$H$2:$H$501,Orders!$G$2:$G$501,A90,Orders!$K$2:$K$501,"Delivered"))</f>
        <v/>
      </c>
      <c r="Q90">
        <f>IF(OR(A90="",E90="Dropship"),"",N(N90)+N(O90)-N(P90))</f>
        <v/>
      </c>
      <c r="R90" s="34" t="n"/>
      <c r="S90">
        <f>IF(OR(A90="",E90="Dropship"),"",IF(Q90&lt;=IF(R90="",Settings!$B$4,R90),"REORDER","OK"))</f>
        <v/>
      </c>
      <c r="T90" s="44">
        <f>IF(OR(A90="",E90="Dropship",J90=""),"",Q90*J90)</f>
        <v/>
      </c>
    </row>
    <row r="91">
      <c r="A91" s="34" t="n"/>
      <c r="B91" s="34" t="n"/>
      <c r="C91" s="34" t="n"/>
      <c r="D91" s="34" t="n"/>
      <c r="E91" s="34" t="n"/>
      <c r="F91" s="36" t="n"/>
      <c r="G91" s="36" t="n"/>
      <c r="H91" s="36" t="n"/>
      <c r="I91" s="36" t="n"/>
      <c r="J91" s="44">
        <f>IF(A91="","",SUM(F91:I91))</f>
        <v/>
      </c>
      <c r="K91" s="36" t="n"/>
      <c r="L91" s="44">
        <f>IF(OR(A91="",K91=""),"",K91-J91)</f>
        <v/>
      </c>
      <c r="M91" s="37">
        <f>IF(OR(A91="",K91="",K91=0),"",L91/K91)</f>
        <v/>
      </c>
      <c r="N91" s="34" t="n"/>
      <c r="O91">
        <f>IF(A91="","",SUMIFS('Stock In'!$C$2:$C$501,'Stock In'!$B$2:$B$501,A91))</f>
        <v/>
      </c>
      <c r="P91">
        <f>IF(A91="","",SUMIFS(Orders!$H$2:$H$501,Orders!$G$2:$G$501,A91,Orders!$K$2:$K$501,"Shipped")+SUMIFS(Orders!$H$2:$H$501,Orders!$G$2:$G$501,A91,Orders!$K$2:$K$501,"Delivered"))</f>
        <v/>
      </c>
      <c r="Q91">
        <f>IF(OR(A91="",E91="Dropship"),"",N(N91)+N(O91)-N(P91))</f>
        <v/>
      </c>
      <c r="R91" s="34" t="n"/>
      <c r="S91">
        <f>IF(OR(A91="",E91="Dropship"),"",IF(Q91&lt;=IF(R91="",Settings!$B$4,R91),"REORDER","OK"))</f>
        <v/>
      </c>
      <c r="T91" s="44">
        <f>IF(OR(A91="",E91="Dropship",J91=""),"",Q91*J91)</f>
        <v/>
      </c>
    </row>
    <row r="92">
      <c r="A92" s="34" t="n"/>
      <c r="B92" s="34" t="n"/>
      <c r="C92" s="34" t="n"/>
      <c r="D92" s="34" t="n"/>
      <c r="E92" s="34" t="n"/>
      <c r="F92" s="36" t="n"/>
      <c r="G92" s="36" t="n"/>
      <c r="H92" s="36" t="n"/>
      <c r="I92" s="36" t="n"/>
      <c r="J92" s="44">
        <f>IF(A92="","",SUM(F92:I92))</f>
        <v/>
      </c>
      <c r="K92" s="36" t="n"/>
      <c r="L92" s="44">
        <f>IF(OR(A92="",K92=""),"",K92-J92)</f>
        <v/>
      </c>
      <c r="M92" s="37">
        <f>IF(OR(A92="",K92="",K92=0),"",L92/K92)</f>
        <v/>
      </c>
      <c r="N92" s="34" t="n"/>
      <c r="O92">
        <f>IF(A92="","",SUMIFS('Stock In'!$C$2:$C$501,'Stock In'!$B$2:$B$501,A92))</f>
        <v/>
      </c>
      <c r="P92">
        <f>IF(A92="","",SUMIFS(Orders!$H$2:$H$501,Orders!$G$2:$G$501,A92,Orders!$K$2:$K$501,"Shipped")+SUMIFS(Orders!$H$2:$H$501,Orders!$G$2:$G$501,A92,Orders!$K$2:$K$501,"Delivered"))</f>
        <v/>
      </c>
      <c r="Q92">
        <f>IF(OR(A92="",E92="Dropship"),"",N(N92)+N(O92)-N(P92))</f>
        <v/>
      </c>
      <c r="R92" s="34" t="n"/>
      <c r="S92">
        <f>IF(OR(A92="",E92="Dropship"),"",IF(Q92&lt;=IF(R92="",Settings!$B$4,R92),"REORDER","OK"))</f>
        <v/>
      </c>
      <c r="T92" s="44">
        <f>IF(OR(A92="",E92="Dropship",J92=""),"",Q92*J92)</f>
        <v/>
      </c>
    </row>
    <row r="93">
      <c r="A93" s="34" t="n"/>
      <c r="B93" s="34" t="n"/>
      <c r="C93" s="34" t="n"/>
      <c r="D93" s="34" t="n"/>
      <c r="E93" s="34" t="n"/>
      <c r="F93" s="36" t="n"/>
      <c r="G93" s="36" t="n"/>
      <c r="H93" s="36" t="n"/>
      <c r="I93" s="36" t="n"/>
      <c r="J93" s="44">
        <f>IF(A93="","",SUM(F93:I93))</f>
        <v/>
      </c>
      <c r="K93" s="36" t="n"/>
      <c r="L93" s="44">
        <f>IF(OR(A93="",K93=""),"",K93-J93)</f>
        <v/>
      </c>
      <c r="M93" s="37">
        <f>IF(OR(A93="",K93="",K93=0),"",L93/K93)</f>
        <v/>
      </c>
      <c r="N93" s="34" t="n"/>
      <c r="O93">
        <f>IF(A93="","",SUMIFS('Stock In'!$C$2:$C$501,'Stock In'!$B$2:$B$501,A93))</f>
        <v/>
      </c>
      <c r="P93">
        <f>IF(A93="","",SUMIFS(Orders!$H$2:$H$501,Orders!$G$2:$G$501,A93,Orders!$K$2:$K$501,"Shipped")+SUMIFS(Orders!$H$2:$H$501,Orders!$G$2:$G$501,A93,Orders!$K$2:$K$501,"Delivered"))</f>
        <v/>
      </c>
      <c r="Q93">
        <f>IF(OR(A93="",E93="Dropship"),"",N(N93)+N(O93)-N(P93))</f>
        <v/>
      </c>
      <c r="R93" s="34" t="n"/>
      <c r="S93">
        <f>IF(OR(A93="",E93="Dropship"),"",IF(Q93&lt;=IF(R93="",Settings!$B$4,R93),"REORDER","OK"))</f>
        <v/>
      </c>
      <c r="T93" s="44">
        <f>IF(OR(A93="",E93="Dropship",J93=""),"",Q93*J93)</f>
        <v/>
      </c>
    </row>
    <row r="94">
      <c r="A94" s="34" t="n"/>
      <c r="B94" s="34" t="n"/>
      <c r="C94" s="34" t="n"/>
      <c r="D94" s="34" t="n"/>
      <c r="E94" s="34" t="n"/>
      <c r="F94" s="36" t="n"/>
      <c r="G94" s="36" t="n"/>
      <c r="H94" s="36" t="n"/>
      <c r="I94" s="36" t="n"/>
      <c r="J94" s="44">
        <f>IF(A94="","",SUM(F94:I94))</f>
        <v/>
      </c>
      <c r="K94" s="36" t="n"/>
      <c r="L94" s="44">
        <f>IF(OR(A94="",K94=""),"",K94-J94)</f>
        <v/>
      </c>
      <c r="M94" s="37">
        <f>IF(OR(A94="",K94="",K94=0),"",L94/K94)</f>
        <v/>
      </c>
      <c r="N94" s="34" t="n"/>
      <c r="O94">
        <f>IF(A94="","",SUMIFS('Stock In'!$C$2:$C$501,'Stock In'!$B$2:$B$501,A94))</f>
        <v/>
      </c>
      <c r="P94">
        <f>IF(A94="","",SUMIFS(Orders!$H$2:$H$501,Orders!$G$2:$G$501,A94,Orders!$K$2:$K$501,"Shipped")+SUMIFS(Orders!$H$2:$H$501,Orders!$G$2:$G$501,A94,Orders!$K$2:$K$501,"Delivered"))</f>
        <v/>
      </c>
      <c r="Q94">
        <f>IF(OR(A94="",E94="Dropship"),"",N(N94)+N(O94)-N(P94))</f>
        <v/>
      </c>
      <c r="R94" s="34" t="n"/>
      <c r="S94">
        <f>IF(OR(A94="",E94="Dropship"),"",IF(Q94&lt;=IF(R94="",Settings!$B$4,R94),"REORDER","OK"))</f>
        <v/>
      </c>
      <c r="T94" s="44">
        <f>IF(OR(A94="",E94="Dropship",J94=""),"",Q94*J94)</f>
        <v/>
      </c>
    </row>
    <row r="95">
      <c r="A95" s="34" t="n"/>
      <c r="B95" s="34" t="n"/>
      <c r="C95" s="34" t="n"/>
      <c r="D95" s="34" t="n"/>
      <c r="E95" s="34" t="n"/>
      <c r="F95" s="36" t="n"/>
      <c r="G95" s="36" t="n"/>
      <c r="H95" s="36" t="n"/>
      <c r="I95" s="36" t="n"/>
      <c r="J95" s="44">
        <f>IF(A95="","",SUM(F95:I95))</f>
        <v/>
      </c>
      <c r="K95" s="36" t="n"/>
      <c r="L95" s="44">
        <f>IF(OR(A95="",K95=""),"",K95-J95)</f>
        <v/>
      </c>
      <c r="M95" s="37">
        <f>IF(OR(A95="",K95="",K95=0),"",L95/K95)</f>
        <v/>
      </c>
      <c r="N95" s="34" t="n"/>
      <c r="O95">
        <f>IF(A95="","",SUMIFS('Stock In'!$C$2:$C$501,'Stock In'!$B$2:$B$501,A95))</f>
        <v/>
      </c>
      <c r="P95">
        <f>IF(A95="","",SUMIFS(Orders!$H$2:$H$501,Orders!$G$2:$G$501,A95,Orders!$K$2:$K$501,"Shipped")+SUMIFS(Orders!$H$2:$H$501,Orders!$G$2:$G$501,A95,Orders!$K$2:$K$501,"Delivered"))</f>
        <v/>
      </c>
      <c r="Q95">
        <f>IF(OR(A95="",E95="Dropship"),"",N(N95)+N(O95)-N(P95))</f>
        <v/>
      </c>
      <c r="R95" s="34" t="n"/>
      <c r="S95">
        <f>IF(OR(A95="",E95="Dropship"),"",IF(Q95&lt;=IF(R95="",Settings!$B$4,R95),"REORDER","OK"))</f>
        <v/>
      </c>
      <c r="T95" s="44">
        <f>IF(OR(A95="",E95="Dropship",J95=""),"",Q95*J95)</f>
        <v/>
      </c>
    </row>
    <row r="96">
      <c r="A96" s="34" t="n"/>
      <c r="B96" s="34" t="n"/>
      <c r="C96" s="34" t="n"/>
      <c r="D96" s="34" t="n"/>
      <c r="E96" s="34" t="n"/>
      <c r="F96" s="36" t="n"/>
      <c r="G96" s="36" t="n"/>
      <c r="H96" s="36" t="n"/>
      <c r="I96" s="36" t="n"/>
      <c r="J96" s="44">
        <f>IF(A96="","",SUM(F96:I96))</f>
        <v/>
      </c>
      <c r="K96" s="36" t="n"/>
      <c r="L96" s="44">
        <f>IF(OR(A96="",K96=""),"",K96-J96)</f>
        <v/>
      </c>
      <c r="M96" s="37">
        <f>IF(OR(A96="",K96="",K96=0),"",L96/K96)</f>
        <v/>
      </c>
      <c r="N96" s="34" t="n"/>
      <c r="O96">
        <f>IF(A96="","",SUMIFS('Stock In'!$C$2:$C$501,'Stock In'!$B$2:$B$501,A96))</f>
        <v/>
      </c>
      <c r="P96">
        <f>IF(A96="","",SUMIFS(Orders!$H$2:$H$501,Orders!$G$2:$G$501,A96,Orders!$K$2:$K$501,"Shipped")+SUMIFS(Orders!$H$2:$H$501,Orders!$G$2:$G$501,A96,Orders!$K$2:$K$501,"Delivered"))</f>
        <v/>
      </c>
      <c r="Q96">
        <f>IF(OR(A96="",E96="Dropship"),"",N(N96)+N(O96)-N(P96))</f>
        <v/>
      </c>
      <c r="R96" s="34" t="n"/>
      <c r="S96">
        <f>IF(OR(A96="",E96="Dropship"),"",IF(Q96&lt;=IF(R96="",Settings!$B$4,R96),"REORDER","OK"))</f>
        <v/>
      </c>
      <c r="T96" s="44">
        <f>IF(OR(A96="",E96="Dropship",J96=""),"",Q96*J96)</f>
        <v/>
      </c>
    </row>
    <row r="97">
      <c r="A97" s="34" t="n"/>
      <c r="B97" s="34" t="n"/>
      <c r="C97" s="34" t="n"/>
      <c r="D97" s="34" t="n"/>
      <c r="E97" s="34" t="n"/>
      <c r="F97" s="36" t="n"/>
      <c r="G97" s="36" t="n"/>
      <c r="H97" s="36" t="n"/>
      <c r="I97" s="36" t="n"/>
      <c r="J97" s="44">
        <f>IF(A97="","",SUM(F97:I97))</f>
        <v/>
      </c>
      <c r="K97" s="36" t="n"/>
      <c r="L97" s="44">
        <f>IF(OR(A97="",K97=""),"",K97-J97)</f>
        <v/>
      </c>
      <c r="M97" s="37">
        <f>IF(OR(A97="",K97="",K97=0),"",L97/K97)</f>
        <v/>
      </c>
      <c r="N97" s="34" t="n"/>
      <c r="O97">
        <f>IF(A97="","",SUMIFS('Stock In'!$C$2:$C$501,'Stock In'!$B$2:$B$501,A97))</f>
        <v/>
      </c>
      <c r="P97">
        <f>IF(A97="","",SUMIFS(Orders!$H$2:$H$501,Orders!$G$2:$G$501,A97,Orders!$K$2:$K$501,"Shipped")+SUMIFS(Orders!$H$2:$H$501,Orders!$G$2:$G$501,A97,Orders!$K$2:$K$501,"Delivered"))</f>
        <v/>
      </c>
      <c r="Q97">
        <f>IF(OR(A97="",E97="Dropship"),"",N(N97)+N(O97)-N(P97))</f>
        <v/>
      </c>
      <c r="R97" s="34" t="n"/>
      <c r="S97">
        <f>IF(OR(A97="",E97="Dropship"),"",IF(Q97&lt;=IF(R97="",Settings!$B$4,R97),"REORDER","OK"))</f>
        <v/>
      </c>
      <c r="T97" s="44">
        <f>IF(OR(A97="",E97="Dropship",J97=""),"",Q97*J97)</f>
        <v/>
      </c>
    </row>
    <row r="98">
      <c r="A98" s="34" t="n"/>
      <c r="B98" s="34" t="n"/>
      <c r="C98" s="34" t="n"/>
      <c r="D98" s="34" t="n"/>
      <c r="E98" s="34" t="n"/>
      <c r="F98" s="36" t="n"/>
      <c r="G98" s="36" t="n"/>
      <c r="H98" s="36" t="n"/>
      <c r="I98" s="36" t="n"/>
      <c r="J98" s="44">
        <f>IF(A98="","",SUM(F98:I98))</f>
        <v/>
      </c>
      <c r="K98" s="36" t="n"/>
      <c r="L98" s="44">
        <f>IF(OR(A98="",K98=""),"",K98-J98)</f>
        <v/>
      </c>
      <c r="M98" s="37">
        <f>IF(OR(A98="",K98="",K98=0),"",L98/K98)</f>
        <v/>
      </c>
      <c r="N98" s="34" t="n"/>
      <c r="O98">
        <f>IF(A98="","",SUMIFS('Stock In'!$C$2:$C$501,'Stock In'!$B$2:$B$501,A98))</f>
        <v/>
      </c>
      <c r="P98">
        <f>IF(A98="","",SUMIFS(Orders!$H$2:$H$501,Orders!$G$2:$G$501,A98,Orders!$K$2:$K$501,"Shipped")+SUMIFS(Orders!$H$2:$H$501,Orders!$G$2:$G$501,A98,Orders!$K$2:$K$501,"Delivered"))</f>
        <v/>
      </c>
      <c r="Q98">
        <f>IF(OR(A98="",E98="Dropship"),"",N(N98)+N(O98)-N(P98))</f>
        <v/>
      </c>
      <c r="R98" s="34" t="n"/>
      <c r="S98">
        <f>IF(OR(A98="",E98="Dropship"),"",IF(Q98&lt;=IF(R98="",Settings!$B$4,R98),"REORDER","OK"))</f>
        <v/>
      </c>
      <c r="T98" s="44">
        <f>IF(OR(A98="",E98="Dropship",J98=""),"",Q98*J98)</f>
        <v/>
      </c>
    </row>
    <row r="99">
      <c r="A99" s="34" t="n"/>
      <c r="B99" s="34" t="n"/>
      <c r="C99" s="34" t="n"/>
      <c r="D99" s="34" t="n"/>
      <c r="E99" s="34" t="n"/>
      <c r="F99" s="36" t="n"/>
      <c r="G99" s="36" t="n"/>
      <c r="H99" s="36" t="n"/>
      <c r="I99" s="36" t="n"/>
      <c r="J99" s="44">
        <f>IF(A99="","",SUM(F99:I99))</f>
        <v/>
      </c>
      <c r="K99" s="36" t="n"/>
      <c r="L99" s="44">
        <f>IF(OR(A99="",K99=""),"",K99-J99)</f>
        <v/>
      </c>
      <c r="M99" s="37">
        <f>IF(OR(A99="",K99="",K99=0),"",L99/K99)</f>
        <v/>
      </c>
      <c r="N99" s="34" t="n"/>
      <c r="O99">
        <f>IF(A99="","",SUMIFS('Stock In'!$C$2:$C$501,'Stock In'!$B$2:$B$501,A99))</f>
        <v/>
      </c>
      <c r="P99">
        <f>IF(A99="","",SUMIFS(Orders!$H$2:$H$501,Orders!$G$2:$G$501,A99,Orders!$K$2:$K$501,"Shipped")+SUMIFS(Orders!$H$2:$H$501,Orders!$G$2:$G$501,A99,Orders!$K$2:$K$501,"Delivered"))</f>
        <v/>
      </c>
      <c r="Q99">
        <f>IF(OR(A99="",E99="Dropship"),"",N(N99)+N(O99)-N(P99))</f>
        <v/>
      </c>
      <c r="R99" s="34" t="n"/>
      <c r="S99">
        <f>IF(OR(A99="",E99="Dropship"),"",IF(Q99&lt;=IF(R99="",Settings!$B$4,R99),"REORDER","OK"))</f>
        <v/>
      </c>
      <c r="T99" s="44">
        <f>IF(OR(A99="",E99="Dropship",J99=""),"",Q99*J99)</f>
        <v/>
      </c>
    </row>
    <row r="100">
      <c r="A100" s="34" t="n"/>
      <c r="B100" s="34" t="n"/>
      <c r="C100" s="34" t="n"/>
      <c r="D100" s="34" t="n"/>
      <c r="E100" s="34" t="n"/>
      <c r="F100" s="36" t="n"/>
      <c r="G100" s="36" t="n"/>
      <c r="H100" s="36" t="n"/>
      <c r="I100" s="36" t="n"/>
      <c r="J100" s="44">
        <f>IF(A100="","",SUM(F100:I100))</f>
        <v/>
      </c>
      <c r="K100" s="36" t="n"/>
      <c r="L100" s="44">
        <f>IF(OR(A100="",K100=""),"",K100-J100)</f>
        <v/>
      </c>
      <c r="M100" s="37">
        <f>IF(OR(A100="",K100="",K100=0),"",L100/K100)</f>
        <v/>
      </c>
      <c r="N100" s="34" t="n"/>
      <c r="O100">
        <f>IF(A100="","",SUMIFS('Stock In'!$C$2:$C$501,'Stock In'!$B$2:$B$501,A100))</f>
        <v/>
      </c>
      <c r="P100">
        <f>IF(A100="","",SUMIFS(Orders!$H$2:$H$501,Orders!$G$2:$G$501,A100,Orders!$K$2:$K$501,"Shipped")+SUMIFS(Orders!$H$2:$H$501,Orders!$G$2:$G$501,A100,Orders!$K$2:$K$501,"Delivered"))</f>
        <v/>
      </c>
      <c r="Q100">
        <f>IF(OR(A100="",E100="Dropship"),"",N(N100)+N(O100)-N(P100))</f>
        <v/>
      </c>
      <c r="R100" s="34" t="n"/>
      <c r="S100">
        <f>IF(OR(A100="",E100="Dropship"),"",IF(Q100&lt;=IF(R100="",Settings!$B$4,R100),"REORDER","OK"))</f>
        <v/>
      </c>
      <c r="T100" s="44">
        <f>IF(OR(A100="",E100="Dropship",J100=""),"",Q100*J100)</f>
        <v/>
      </c>
    </row>
    <row r="101">
      <c r="A101" s="34" t="n"/>
      <c r="B101" s="34" t="n"/>
      <c r="C101" s="34" t="n"/>
      <c r="D101" s="34" t="n"/>
      <c r="E101" s="34" t="n"/>
      <c r="F101" s="36" t="n"/>
      <c r="G101" s="36" t="n"/>
      <c r="H101" s="36" t="n"/>
      <c r="I101" s="36" t="n"/>
      <c r="J101" s="44">
        <f>IF(A101="","",SUM(F101:I101))</f>
        <v/>
      </c>
      <c r="K101" s="36" t="n"/>
      <c r="L101" s="44">
        <f>IF(OR(A101="",K101=""),"",K101-J101)</f>
        <v/>
      </c>
      <c r="M101" s="37">
        <f>IF(OR(A101="",K101="",K101=0),"",L101/K101)</f>
        <v/>
      </c>
      <c r="N101" s="34" t="n"/>
      <c r="O101">
        <f>IF(A101="","",SUMIFS('Stock In'!$C$2:$C$501,'Stock In'!$B$2:$B$501,A101))</f>
        <v/>
      </c>
      <c r="P101">
        <f>IF(A101="","",SUMIFS(Orders!$H$2:$H$501,Orders!$G$2:$G$501,A101,Orders!$K$2:$K$501,"Shipped")+SUMIFS(Orders!$H$2:$H$501,Orders!$G$2:$G$501,A101,Orders!$K$2:$K$501,"Delivered"))</f>
        <v/>
      </c>
      <c r="Q101">
        <f>IF(OR(A101="",E101="Dropship"),"",N(N101)+N(O101)-N(P101))</f>
        <v/>
      </c>
      <c r="R101" s="34" t="n"/>
      <c r="S101">
        <f>IF(OR(A101="",E101="Dropship"),"",IF(Q101&lt;=IF(R101="",Settings!$B$4,R101),"REORDER","OK"))</f>
        <v/>
      </c>
      <c r="T101" s="44">
        <f>IF(OR(A101="",E101="Dropship",J101=""),"",Q101*J101)</f>
        <v/>
      </c>
    </row>
  </sheetData>
  <conditionalFormatting sqref="S2:S101">
    <cfRule type="cellIs" priority="1" operator="equal" dxfId="2">
      <formula>"REORDER"</formula>
    </cfRule>
  </conditionalFormatting>
  <dataValidations count="1">
    <dataValidation sqref="E2:E101" showDropDown="0" showInputMessage="0" showErrorMessage="0" allowBlank="1" type="list">
      <formula1>=Settings!$G$19:$G$20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6" customWidth="1" min="4" max="4"/>
    <col width="26" customWidth="1" min="5" max="5"/>
    <col width="16" customWidth="1" min="6" max="6"/>
    <col width="14" customWidth="1" min="7" max="7"/>
    <col width="34" customWidth="1" min="8" max="8"/>
  </cols>
  <sheetData>
    <row r="1" ht="30" customHeight="1">
      <c r="A1" s="33" t="inlineStr">
        <is>
          <t>Date received</t>
        </is>
      </c>
      <c r="B1" s="33" t="inlineStr">
        <is>
          <t>SKU</t>
        </is>
      </c>
      <c r="C1" s="33" t="inlineStr">
        <is>
          <t>Units received</t>
        </is>
      </c>
      <c r="D1" s="33" t="inlineStr">
        <is>
          <t>Product name</t>
        </is>
      </c>
      <c r="E1" s="33" t="inlineStr">
        <is>
          <t>Supplier / route</t>
        </is>
      </c>
      <c r="F1" s="33" t="inlineStr">
        <is>
          <t>Total cost paid (₦)</t>
        </is>
      </c>
      <c r="G1" s="33" t="inlineStr">
        <is>
          <t>Cost / unit (₦)</t>
        </is>
      </c>
      <c r="H1" s="33" t="inlineStr">
        <is>
          <t>Notes</t>
        </is>
      </c>
    </row>
    <row r="2">
      <c r="A2" s="45" t="n">
        <v>46307</v>
      </c>
      <c r="B2" s="34" t="inlineStr">
        <is>
          <t>EX-EDG-01</t>
        </is>
      </c>
      <c r="C2" s="34" t="n">
        <v>60</v>
      </c>
      <c r="D2" s="46">
        <f>IF(B2="","",IFERROR(INDEX(Products!$B$2:$B$101,MATCH(B2,Products!$A$2:$A$101,0)),"Unknown SKU"))</f>
        <v/>
      </c>
      <c r="E2" s="34" t="inlineStr">
        <is>
          <t>Cargo agent, air, Guangzhou → Lagos</t>
        </is>
      </c>
      <c r="F2" s="36" t="n">
        <v>78000</v>
      </c>
      <c r="G2" s="44">
        <f>IF(OR(C2="",C2=0,F2=""),"",F2/C2)</f>
        <v/>
      </c>
      <c r="H2" s="34" t="inlineStr">
        <is>
          <t>First small batch</t>
        </is>
      </c>
    </row>
    <row r="3">
      <c r="A3" s="45" t="n">
        <v>46307</v>
      </c>
      <c r="B3" s="34" t="inlineStr">
        <is>
          <t>EX-SCR-01</t>
        </is>
      </c>
      <c r="C3" s="34" t="n">
        <v>40</v>
      </c>
      <c r="D3" s="46">
        <f>IF(B3="","",IFERROR(INDEX(Products!$B$2:$B$101,MATCH(B3,Products!$A$2:$A$101,0)),"Unknown SKU"))</f>
        <v/>
      </c>
      <c r="E3" s="34" t="inlineStr">
        <is>
          <t>Cargo agent, air, Guangzhou → Lagos</t>
        </is>
      </c>
      <c r="F3" s="36" t="n">
        <v>60000</v>
      </c>
      <c r="G3" s="44">
        <f>IF(OR(C3="",C3=0,F3=""),"",F3/C3)</f>
        <v/>
      </c>
      <c r="H3" s="34" t="inlineStr"/>
    </row>
    <row r="4">
      <c r="A4" s="45" t="n"/>
      <c r="B4" s="34" t="n"/>
      <c r="C4" s="34" t="n"/>
      <c r="D4" s="46">
        <f>IF(B4="","",IFERROR(INDEX(Products!$B$2:$B$101,MATCH(B4,Products!$A$2:$A$101,0)),"Unknown SKU"))</f>
        <v/>
      </c>
      <c r="E4" s="34" t="n"/>
      <c r="F4" s="36" t="n"/>
      <c r="G4" s="44">
        <f>IF(OR(C4="",C4=0,F4=""),"",F4/C4)</f>
        <v/>
      </c>
      <c r="H4" s="34" t="n"/>
    </row>
    <row r="5">
      <c r="A5" s="45" t="n"/>
      <c r="B5" s="34" t="n"/>
      <c r="C5" s="34" t="n"/>
      <c r="D5" s="46">
        <f>IF(B5="","",IFERROR(INDEX(Products!$B$2:$B$101,MATCH(B5,Products!$A$2:$A$101,0)),"Unknown SKU"))</f>
        <v/>
      </c>
      <c r="E5" s="34" t="n"/>
      <c r="F5" s="36" t="n"/>
      <c r="G5" s="44">
        <f>IF(OR(C5="",C5=0,F5=""),"",F5/C5)</f>
        <v/>
      </c>
      <c r="H5" s="34" t="n"/>
    </row>
    <row r="6">
      <c r="A6" s="45" t="n"/>
      <c r="B6" s="34" t="n"/>
      <c r="C6" s="34" t="n"/>
      <c r="D6" s="46">
        <f>IF(B6="","",IFERROR(INDEX(Products!$B$2:$B$101,MATCH(B6,Products!$A$2:$A$101,0)),"Unknown SKU"))</f>
        <v/>
      </c>
      <c r="E6" s="34" t="n"/>
      <c r="F6" s="36" t="n"/>
      <c r="G6" s="44">
        <f>IF(OR(C6="",C6=0,F6=""),"",F6/C6)</f>
        <v/>
      </c>
      <c r="H6" s="34" t="n"/>
    </row>
    <row r="7">
      <c r="A7" s="45" t="n"/>
      <c r="B7" s="34" t="n"/>
      <c r="C7" s="34" t="n"/>
      <c r="D7" s="46">
        <f>IF(B7="","",IFERROR(INDEX(Products!$B$2:$B$101,MATCH(B7,Products!$A$2:$A$101,0)),"Unknown SKU"))</f>
        <v/>
      </c>
      <c r="E7" s="34" t="n"/>
      <c r="F7" s="36" t="n"/>
      <c r="G7" s="44">
        <f>IF(OR(C7="",C7=0,F7=""),"",F7/C7)</f>
        <v/>
      </c>
      <c r="H7" s="34" t="n"/>
    </row>
    <row r="8">
      <c r="A8" s="45" t="n"/>
      <c r="B8" s="34" t="n"/>
      <c r="C8" s="34" t="n"/>
      <c r="D8" s="46">
        <f>IF(B8="","",IFERROR(INDEX(Products!$B$2:$B$101,MATCH(B8,Products!$A$2:$A$101,0)),"Unknown SKU"))</f>
        <v/>
      </c>
      <c r="E8" s="34" t="n"/>
      <c r="F8" s="36" t="n"/>
      <c r="G8" s="44">
        <f>IF(OR(C8="",C8=0,F8=""),"",F8/C8)</f>
        <v/>
      </c>
      <c r="H8" s="34" t="n"/>
    </row>
    <row r="9">
      <c r="A9" s="45" t="n"/>
      <c r="B9" s="34" t="n"/>
      <c r="C9" s="34" t="n"/>
      <c r="D9" s="46">
        <f>IF(B9="","",IFERROR(INDEX(Products!$B$2:$B$101,MATCH(B9,Products!$A$2:$A$101,0)),"Unknown SKU"))</f>
        <v/>
      </c>
      <c r="E9" s="34" t="n"/>
      <c r="F9" s="36" t="n"/>
      <c r="G9" s="44">
        <f>IF(OR(C9="",C9=0,F9=""),"",F9/C9)</f>
        <v/>
      </c>
      <c r="H9" s="34" t="n"/>
    </row>
    <row r="10">
      <c r="A10" s="45" t="n"/>
      <c r="B10" s="34" t="n"/>
      <c r="C10" s="34" t="n"/>
      <c r="D10" s="46">
        <f>IF(B10="","",IFERROR(INDEX(Products!$B$2:$B$101,MATCH(B10,Products!$A$2:$A$101,0)),"Unknown SKU"))</f>
        <v/>
      </c>
      <c r="E10" s="34" t="n"/>
      <c r="F10" s="36" t="n"/>
      <c r="G10" s="44">
        <f>IF(OR(C10="",C10=0,F10=""),"",F10/C10)</f>
        <v/>
      </c>
      <c r="H10" s="34" t="n"/>
    </row>
    <row r="11">
      <c r="A11" s="45" t="n"/>
      <c r="B11" s="34" t="n"/>
      <c r="C11" s="34" t="n"/>
      <c r="D11" s="46">
        <f>IF(B11="","",IFERROR(INDEX(Products!$B$2:$B$101,MATCH(B11,Products!$A$2:$A$101,0)),"Unknown SKU"))</f>
        <v/>
      </c>
      <c r="E11" s="34" t="n"/>
      <c r="F11" s="36" t="n"/>
      <c r="G11" s="44">
        <f>IF(OR(C11="",C11=0,F11=""),"",F11/C11)</f>
        <v/>
      </c>
      <c r="H11" s="34" t="n"/>
    </row>
    <row r="12">
      <c r="A12" s="45" t="n"/>
      <c r="B12" s="34" t="n"/>
      <c r="C12" s="34" t="n"/>
      <c r="D12" s="46">
        <f>IF(B12="","",IFERROR(INDEX(Products!$B$2:$B$101,MATCH(B12,Products!$A$2:$A$101,0)),"Unknown SKU"))</f>
        <v/>
      </c>
      <c r="E12" s="34" t="n"/>
      <c r="F12" s="36" t="n"/>
      <c r="G12" s="44">
        <f>IF(OR(C12="",C12=0,F12=""),"",F12/C12)</f>
        <v/>
      </c>
      <c r="H12" s="34" t="n"/>
    </row>
    <row r="13">
      <c r="A13" s="45" t="n"/>
      <c r="B13" s="34" t="n"/>
      <c r="C13" s="34" t="n"/>
      <c r="D13" s="46">
        <f>IF(B13="","",IFERROR(INDEX(Products!$B$2:$B$101,MATCH(B13,Products!$A$2:$A$101,0)),"Unknown SKU"))</f>
        <v/>
      </c>
      <c r="E13" s="34" t="n"/>
      <c r="F13" s="36" t="n"/>
      <c r="G13" s="44">
        <f>IF(OR(C13="",C13=0,F13=""),"",F13/C13)</f>
        <v/>
      </c>
      <c r="H13" s="34" t="n"/>
    </row>
    <row r="14">
      <c r="A14" s="45" t="n"/>
      <c r="B14" s="34" t="n"/>
      <c r="C14" s="34" t="n"/>
      <c r="D14" s="46">
        <f>IF(B14="","",IFERROR(INDEX(Products!$B$2:$B$101,MATCH(B14,Products!$A$2:$A$101,0)),"Unknown SKU"))</f>
        <v/>
      </c>
      <c r="E14" s="34" t="n"/>
      <c r="F14" s="36" t="n"/>
      <c r="G14" s="44">
        <f>IF(OR(C14="",C14=0,F14=""),"",F14/C14)</f>
        <v/>
      </c>
      <c r="H14" s="34" t="n"/>
    </row>
    <row r="15">
      <c r="A15" s="45" t="n"/>
      <c r="B15" s="34" t="n"/>
      <c r="C15" s="34" t="n"/>
      <c r="D15" s="46">
        <f>IF(B15="","",IFERROR(INDEX(Products!$B$2:$B$101,MATCH(B15,Products!$A$2:$A$101,0)),"Unknown SKU"))</f>
        <v/>
      </c>
      <c r="E15" s="34" t="n"/>
      <c r="F15" s="36" t="n"/>
      <c r="G15" s="44">
        <f>IF(OR(C15="",C15=0,F15=""),"",F15/C15)</f>
        <v/>
      </c>
      <c r="H15" s="34" t="n"/>
    </row>
    <row r="16">
      <c r="A16" s="45" t="n"/>
      <c r="B16" s="34" t="n"/>
      <c r="C16" s="34" t="n"/>
      <c r="D16" s="46">
        <f>IF(B16="","",IFERROR(INDEX(Products!$B$2:$B$101,MATCH(B16,Products!$A$2:$A$101,0)),"Unknown SKU"))</f>
        <v/>
      </c>
      <c r="E16" s="34" t="n"/>
      <c r="F16" s="36" t="n"/>
      <c r="G16" s="44">
        <f>IF(OR(C16="",C16=0,F16=""),"",F16/C16)</f>
        <v/>
      </c>
      <c r="H16" s="34" t="n"/>
    </row>
    <row r="17">
      <c r="A17" s="45" t="n"/>
      <c r="B17" s="34" t="n"/>
      <c r="C17" s="34" t="n"/>
      <c r="D17" s="46">
        <f>IF(B17="","",IFERROR(INDEX(Products!$B$2:$B$101,MATCH(B17,Products!$A$2:$A$101,0)),"Unknown SKU"))</f>
        <v/>
      </c>
      <c r="E17" s="34" t="n"/>
      <c r="F17" s="36" t="n"/>
      <c r="G17" s="44">
        <f>IF(OR(C17="",C17=0,F17=""),"",F17/C17)</f>
        <v/>
      </c>
      <c r="H17" s="34" t="n"/>
    </row>
    <row r="18">
      <c r="A18" s="45" t="n"/>
      <c r="B18" s="34" t="n"/>
      <c r="C18" s="34" t="n"/>
      <c r="D18" s="46">
        <f>IF(B18="","",IFERROR(INDEX(Products!$B$2:$B$101,MATCH(B18,Products!$A$2:$A$101,0)),"Unknown SKU"))</f>
        <v/>
      </c>
      <c r="E18" s="34" t="n"/>
      <c r="F18" s="36" t="n"/>
      <c r="G18" s="44">
        <f>IF(OR(C18="",C18=0,F18=""),"",F18/C18)</f>
        <v/>
      </c>
      <c r="H18" s="34" t="n"/>
    </row>
    <row r="19">
      <c r="A19" s="45" t="n"/>
      <c r="B19" s="34" t="n"/>
      <c r="C19" s="34" t="n"/>
      <c r="D19" s="46">
        <f>IF(B19="","",IFERROR(INDEX(Products!$B$2:$B$101,MATCH(B19,Products!$A$2:$A$101,0)),"Unknown SKU"))</f>
        <v/>
      </c>
      <c r="E19" s="34" t="n"/>
      <c r="F19" s="36" t="n"/>
      <c r="G19" s="44">
        <f>IF(OR(C19="",C19=0,F19=""),"",F19/C19)</f>
        <v/>
      </c>
      <c r="H19" s="34" t="n"/>
    </row>
    <row r="20">
      <c r="A20" s="45" t="n"/>
      <c r="B20" s="34" t="n"/>
      <c r="C20" s="34" t="n"/>
      <c r="D20" s="46">
        <f>IF(B20="","",IFERROR(INDEX(Products!$B$2:$B$101,MATCH(B20,Products!$A$2:$A$101,0)),"Unknown SKU"))</f>
        <v/>
      </c>
      <c r="E20" s="34" t="n"/>
      <c r="F20" s="36" t="n"/>
      <c r="G20" s="44">
        <f>IF(OR(C20="",C20=0,F20=""),"",F20/C20)</f>
        <v/>
      </c>
      <c r="H20" s="34" t="n"/>
    </row>
    <row r="21">
      <c r="A21" s="45" t="n"/>
      <c r="B21" s="34" t="n"/>
      <c r="C21" s="34" t="n"/>
      <c r="D21" s="46">
        <f>IF(B21="","",IFERROR(INDEX(Products!$B$2:$B$101,MATCH(B21,Products!$A$2:$A$101,0)),"Unknown SKU"))</f>
        <v/>
      </c>
      <c r="E21" s="34" t="n"/>
      <c r="F21" s="36" t="n"/>
      <c r="G21" s="44">
        <f>IF(OR(C21="",C21=0,F21=""),"",F21/C21)</f>
        <v/>
      </c>
      <c r="H21" s="34" t="n"/>
    </row>
    <row r="22">
      <c r="A22" s="45" t="n"/>
      <c r="B22" s="34" t="n"/>
      <c r="C22" s="34" t="n"/>
      <c r="D22" s="46">
        <f>IF(B22="","",IFERROR(INDEX(Products!$B$2:$B$101,MATCH(B22,Products!$A$2:$A$101,0)),"Unknown SKU"))</f>
        <v/>
      </c>
      <c r="E22" s="34" t="n"/>
      <c r="F22" s="36" t="n"/>
      <c r="G22" s="44">
        <f>IF(OR(C22="",C22=0,F22=""),"",F22/C22)</f>
        <v/>
      </c>
      <c r="H22" s="34" t="n"/>
    </row>
    <row r="23">
      <c r="A23" s="45" t="n"/>
      <c r="B23" s="34" t="n"/>
      <c r="C23" s="34" t="n"/>
      <c r="D23" s="46">
        <f>IF(B23="","",IFERROR(INDEX(Products!$B$2:$B$101,MATCH(B23,Products!$A$2:$A$101,0)),"Unknown SKU"))</f>
        <v/>
      </c>
      <c r="E23" s="34" t="n"/>
      <c r="F23" s="36" t="n"/>
      <c r="G23" s="44">
        <f>IF(OR(C23="",C23=0,F23=""),"",F23/C23)</f>
        <v/>
      </c>
      <c r="H23" s="34" t="n"/>
    </row>
    <row r="24">
      <c r="A24" s="45" t="n"/>
      <c r="B24" s="34" t="n"/>
      <c r="C24" s="34" t="n"/>
      <c r="D24" s="46">
        <f>IF(B24="","",IFERROR(INDEX(Products!$B$2:$B$101,MATCH(B24,Products!$A$2:$A$101,0)),"Unknown SKU"))</f>
        <v/>
      </c>
      <c r="E24" s="34" t="n"/>
      <c r="F24" s="36" t="n"/>
      <c r="G24" s="44">
        <f>IF(OR(C24="",C24=0,F24=""),"",F24/C24)</f>
        <v/>
      </c>
      <c r="H24" s="34" t="n"/>
    </row>
    <row r="25">
      <c r="A25" s="45" t="n"/>
      <c r="B25" s="34" t="n"/>
      <c r="C25" s="34" t="n"/>
      <c r="D25" s="46">
        <f>IF(B25="","",IFERROR(INDEX(Products!$B$2:$B$101,MATCH(B25,Products!$A$2:$A$101,0)),"Unknown SKU"))</f>
        <v/>
      </c>
      <c r="E25" s="34" t="n"/>
      <c r="F25" s="36" t="n"/>
      <c r="G25" s="44">
        <f>IF(OR(C25="",C25=0,F25=""),"",F25/C25)</f>
        <v/>
      </c>
      <c r="H25" s="34" t="n"/>
    </row>
    <row r="26">
      <c r="A26" s="45" t="n"/>
      <c r="B26" s="34" t="n"/>
      <c r="C26" s="34" t="n"/>
      <c r="D26" s="46">
        <f>IF(B26="","",IFERROR(INDEX(Products!$B$2:$B$101,MATCH(B26,Products!$A$2:$A$101,0)),"Unknown SKU"))</f>
        <v/>
      </c>
      <c r="E26" s="34" t="n"/>
      <c r="F26" s="36" t="n"/>
      <c r="G26" s="44">
        <f>IF(OR(C26="",C26=0,F26=""),"",F26/C26)</f>
        <v/>
      </c>
      <c r="H26" s="34" t="n"/>
    </row>
    <row r="27">
      <c r="A27" s="45" t="n"/>
      <c r="B27" s="34" t="n"/>
      <c r="C27" s="34" t="n"/>
      <c r="D27" s="46">
        <f>IF(B27="","",IFERROR(INDEX(Products!$B$2:$B$101,MATCH(B27,Products!$A$2:$A$101,0)),"Unknown SKU"))</f>
        <v/>
      </c>
      <c r="E27" s="34" t="n"/>
      <c r="F27" s="36" t="n"/>
      <c r="G27" s="44">
        <f>IF(OR(C27="",C27=0,F27=""),"",F27/C27)</f>
        <v/>
      </c>
      <c r="H27" s="34" t="n"/>
    </row>
    <row r="28">
      <c r="A28" s="45" t="n"/>
      <c r="B28" s="34" t="n"/>
      <c r="C28" s="34" t="n"/>
      <c r="D28" s="46">
        <f>IF(B28="","",IFERROR(INDEX(Products!$B$2:$B$101,MATCH(B28,Products!$A$2:$A$101,0)),"Unknown SKU"))</f>
        <v/>
      </c>
      <c r="E28" s="34" t="n"/>
      <c r="F28" s="36" t="n"/>
      <c r="G28" s="44">
        <f>IF(OR(C28="",C28=0,F28=""),"",F28/C28)</f>
        <v/>
      </c>
      <c r="H28" s="34" t="n"/>
    </row>
    <row r="29">
      <c r="A29" s="45" t="n"/>
      <c r="B29" s="34" t="n"/>
      <c r="C29" s="34" t="n"/>
      <c r="D29" s="46">
        <f>IF(B29="","",IFERROR(INDEX(Products!$B$2:$B$101,MATCH(B29,Products!$A$2:$A$101,0)),"Unknown SKU"))</f>
        <v/>
      </c>
      <c r="E29" s="34" t="n"/>
      <c r="F29" s="36" t="n"/>
      <c r="G29" s="44">
        <f>IF(OR(C29="",C29=0,F29=""),"",F29/C29)</f>
        <v/>
      </c>
      <c r="H29" s="34" t="n"/>
    </row>
    <row r="30">
      <c r="A30" s="45" t="n"/>
      <c r="B30" s="34" t="n"/>
      <c r="C30" s="34" t="n"/>
      <c r="D30" s="46">
        <f>IF(B30="","",IFERROR(INDEX(Products!$B$2:$B$101,MATCH(B30,Products!$A$2:$A$101,0)),"Unknown SKU"))</f>
        <v/>
      </c>
      <c r="E30" s="34" t="n"/>
      <c r="F30" s="36" t="n"/>
      <c r="G30" s="44">
        <f>IF(OR(C30="",C30=0,F30=""),"",F30/C30)</f>
        <v/>
      </c>
      <c r="H30" s="34" t="n"/>
    </row>
    <row r="31">
      <c r="A31" s="45" t="n"/>
      <c r="B31" s="34" t="n"/>
      <c r="C31" s="34" t="n"/>
      <c r="D31" s="46">
        <f>IF(B31="","",IFERROR(INDEX(Products!$B$2:$B$101,MATCH(B31,Products!$A$2:$A$101,0)),"Unknown SKU"))</f>
        <v/>
      </c>
      <c r="E31" s="34" t="n"/>
      <c r="F31" s="36" t="n"/>
      <c r="G31" s="44">
        <f>IF(OR(C31="",C31=0,F31=""),"",F31/C31)</f>
        <v/>
      </c>
      <c r="H31" s="34" t="n"/>
    </row>
    <row r="32">
      <c r="A32" s="45" t="n"/>
      <c r="B32" s="34" t="n"/>
      <c r="C32" s="34" t="n"/>
      <c r="D32" s="46">
        <f>IF(B32="","",IFERROR(INDEX(Products!$B$2:$B$101,MATCH(B32,Products!$A$2:$A$101,0)),"Unknown SKU"))</f>
        <v/>
      </c>
      <c r="E32" s="34" t="n"/>
      <c r="F32" s="36" t="n"/>
      <c r="G32" s="44">
        <f>IF(OR(C32="",C32=0,F32=""),"",F32/C32)</f>
        <v/>
      </c>
      <c r="H32" s="34" t="n"/>
    </row>
    <row r="33">
      <c r="A33" s="45" t="n"/>
      <c r="B33" s="34" t="n"/>
      <c r="C33" s="34" t="n"/>
      <c r="D33" s="46">
        <f>IF(B33="","",IFERROR(INDEX(Products!$B$2:$B$101,MATCH(B33,Products!$A$2:$A$101,0)),"Unknown SKU"))</f>
        <v/>
      </c>
      <c r="E33" s="34" t="n"/>
      <c r="F33" s="36" t="n"/>
      <c r="G33" s="44">
        <f>IF(OR(C33="",C33=0,F33=""),"",F33/C33)</f>
        <v/>
      </c>
      <c r="H33" s="34" t="n"/>
    </row>
    <row r="34">
      <c r="A34" s="45" t="n"/>
      <c r="B34" s="34" t="n"/>
      <c r="C34" s="34" t="n"/>
      <c r="D34" s="46">
        <f>IF(B34="","",IFERROR(INDEX(Products!$B$2:$B$101,MATCH(B34,Products!$A$2:$A$101,0)),"Unknown SKU"))</f>
        <v/>
      </c>
      <c r="E34" s="34" t="n"/>
      <c r="F34" s="36" t="n"/>
      <c r="G34" s="44">
        <f>IF(OR(C34="",C34=0,F34=""),"",F34/C34)</f>
        <v/>
      </c>
      <c r="H34" s="34" t="n"/>
    </row>
    <row r="35">
      <c r="A35" s="45" t="n"/>
      <c r="B35" s="34" t="n"/>
      <c r="C35" s="34" t="n"/>
      <c r="D35" s="46">
        <f>IF(B35="","",IFERROR(INDEX(Products!$B$2:$B$101,MATCH(B35,Products!$A$2:$A$101,0)),"Unknown SKU"))</f>
        <v/>
      </c>
      <c r="E35" s="34" t="n"/>
      <c r="F35" s="36" t="n"/>
      <c r="G35" s="44">
        <f>IF(OR(C35="",C35=0,F35=""),"",F35/C35)</f>
        <v/>
      </c>
      <c r="H35" s="34" t="n"/>
    </row>
    <row r="36">
      <c r="A36" s="45" t="n"/>
      <c r="B36" s="34" t="n"/>
      <c r="C36" s="34" t="n"/>
      <c r="D36" s="46">
        <f>IF(B36="","",IFERROR(INDEX(Products!$B$2:$B$101,MATCH(B36,Products!$A$2:$A$101,0)),"Unknown SKU"))</f>
        <v/>
      </c>
      <c r="E36" s="34" t="n"/>
      <c r="F36" s="36" t="n"/>
      <c r="G36" s="44">
        <f>IF(OR(C36="",C36=0,F36=""),"",F36/C36)</f>
        <v/>
      </c>
      <c r="H36" s="34" t="n"/>
    </row>
    <row r="37">
      <c r="A37" s="45" t="n"/>
      <c r="B37" s="34" t="n"/>
      <c r="C37" s="34" t="n"/>
      <c r="D37" s="46">
        <f>IF(B37="","",IFERROR(INDEX(Products!$B$2:$B$101,MATCH(B37,Products!$A$2:$A$101,0)),"Unknown SKU"))</f>
        <v/>
      </c>
      <c r="E37" s="34" t="n"/>
      <c r="F37" s="36" t="n"/>
      <c r="G37" s="44">
        <f>IF(OR(C37="",C37=0,F37=""),"",F37/C37)</f>
        <v/>
      </c>
      <c r="H37" s="34" t="n"/>
    </row>
    <row r="38">
      <c r="A38" s="45" t="n"/>
      <c r="B38" s="34" t="n"/>
      <c r="C38" s="34" t="n"/>
      <c r="D38" s="46">
        <f>IF(B38="","",IFERROR(INDEX(Products!$B$2:$B$101,MATCH(B38,Products!$A$2:$A$101,0)),"Unknown SKU"))</f>
        <v/>
      </c>
      <c r="E38" s="34" t="n"/>
      <c r="F38" s="36" t="n"/>
      <c r="G38" s="44">
        <f>IF(OR(C38="",C38=0,F38=""),"",F38/C38)</f>
        <v/>
      </c>
      <c r="H38" s="34" t="n"/>
    </row>
    <row r="39">
      <c r="A39" s="45" t="n"/>
      <c r="B39" s="34" t="n"/>
      <c r="C39" s="34" t="n"/>
      <c r="D39" s="46">
        <f>IF(B39="","",IFERROR(INDEX(Products!$B$2:$B$101,MATCH(B39,Products!$A$2:$A$101,0)),"Unknown SKU"))</f>
        <v/>
      </c>
      <c r="E39" s="34" t="n"/>
      <c r="F39" s="36" t="n"/>
      <c r="G39" s="44">
        <f>IF(OR(C39="",C39=0,F39=""),"",F39/C39)</f>
        <v/>
      </c>
      <c r="H39" s="34" t="n"/>
    </row>
    <row r="40">
      <c r="A40" s="45" t="n"/>
      <c r="B40" s="34" t="n"/>
      <c r="C40" s="34" t="n"/>
      <c r="D40" s="46">
        <f>IF(B40="","",IFERROR(INDEX(Products!$B$2:$B$101,MATCH(B40,Products!$A$2:$A$101,0)),"Unknown SKU"))</f>
        <v/>
      </c>
      <c r="E40" s="34" t="n"/>
      <c r="F40" s="36" t="n"/>
      <c r="G40" s="44">
        <f>IF(OR(C40="",C40=0,F40=""),"",F40/C40)</f>
        <v/>
      </c>
      <c r="H40" s="34" t="n"/>
    </row>
    <row r="41">
      <c r="A41" s="45" t="n"/>
      <c r="B41" s="34" t="n"/>
      <c r="C41" s="34" t="n"/>
      <c r="D41" s="46">
        <f>IF(B41="","",IFERROR(INDEX(Products!$B$2:$B$101,MATCH(B41,Products!$A$2:$A$101,0)),"Unknown SKU"))</f>
        <v/>
      </c>
      <c r="E41" s="34" t="n"/>
      <c r="F41" s="36" t="n"/>
      <c r="G41" s="44">
        <f>IF(OR(C41="",C41=0,F41=""),"",F41/C41)</f>
        <v/>
      </c>
      <c r="H41" s="34" t="n"/>
    </row>
    <row r="42">
      <c r="A42" s="45" t="n"/>
      <c r="B42" s="34" t="n"/>
      <c r="C42" s="34" t="n"/>
      <c r="D42" s="46">
        <f>IF(B42="","",IFERROR(INDEX(Products!$B$2:$B$101,MATCH(B42,Products!$A$2:$A$101,0)),"Unknown SKU"))</f>
        <v/>
      </c>
      <c r="E42" s="34" t="n"/>
      <c r="F42" s="36" t="n"/>
      <c r="G42" s="44">
        <f>IF(OR(C42="",C42=0,F42=""),"",F42/C42)</f>
        <v/>
      </c>
      <c r="H42" s="34" t="n"/>
    </row>
    <row r="43">
      <c r="A43" s="45" t="n"/>
      <c r="B43" s="34" t="n"/>
      <c r="C43" s="34" t="n"/>
      <c r="D43" s="46">
        <f>IF(B43="","",IFERROR(INDEX(Products!$B$2:$B$101,MATCH(B43,Products!$A$2:$A$101,0)),"Unknown SKU"))</f>
        <v/>
      </c>
      <c r="E43" s="34" t="n"/>
      <c r="F43" s="36" t="n"/>
      <c r="G43" s="44">
        <f>IF(OR(C43="",C43=0,F43=""),"",F43/C43)</f>
        <v/>
      </c>
      <c r="H43" s="34" t="n"/>
    </row>
    <row r="44">
      <c r="A44" s="45" t="n"/>
      <c r="B44" s="34" t="n"/>
      <c r="C44" s="34" t="n"/>
      <c r="D44" s="46">
        <f>IF(B44="","",IFERROR(INDEX(Products!$B$2:$B$101,MATCH(B44,Products!$A$2:$A$101,0)),"Unknown SKU"))</f>
        <v/>
      </c>
      <c r="E44" s="34" t="n"/>
      <c r="F44" s="36" t="n"/>
      <c r="G44" s="44">
        <f>IF(OR(C44="",C44=0,F44=""),"",F44/C44)</f>
        <v/>
      </c>
      <c r="H44" s="34" t="n"/>
    </row>
    <row r="45">
      <c r="A45" s="45" t="n"/>
      <c r="B45" s="34" t="n"/>
      <c r="C45" s="34" t="n"/>
      <c r="D45" s="46">
        <f>IF(B45="","",IFERROR(INDEX(Products!$B$2:$B$101,MATCH(B45,Products!$A$2:$A$101,0)),"Unknown SKU"))</f>
        <v/>
      </c>
      <c r="E45" s="34" t="n"/>
      <c r="F45" s="36" t="n"/>
      <c r="G45" s="44">
        <f>IF(OR(C45="",C45=0,F45=""),"",F45/C45)</f>
        <v/>
      </c>
      <c r="H45" s="34" t="n"/>
    </row>
    <row r="46">
      <c r="A46" s="45" t="n"/>
      <c r="B46" s="34" t="n"/>
      <c r="C46" s="34" t="n"/>
      <c r="D46" s="46">
        <f>IF(B46="","",IFERROR(INDEX(Products!$B$2:$B$101,MATCH(B46,Products!$A$2:$A$101,0)),"Unknown SKU"))</f>
        <v/>
      </c>
      <c r="E46" s="34" t="n"/>
      <c r="F46" s="36" t="n"/>
      <c r="G46" s="44">
        <f>IF(OR(C46="",C46=0,F46=""),"",F46/C46)</f>
        <v/>
      </c>
      <c r="H46" s="34" t="n"/>
    </row>
    <row r="47">
      <c r="A47" s="45" t="n"/>
      <c r="B47" s="34" t="n"/>
      <c r="C47" s="34" t="n"/>
      <c r="D47" s="46">
        <f>IF(B47="","",IFERROR(INDEX(Products!$B$2:$B$101,MATCH(B47,Products!$A$2:$A$101,0)),"Unknown SKU"))</f>
        <v/>
      </c>
      <c r="E47" s="34" t="n"/>
      <c r="F47" s="36" t="n"/>
      <c r="G47" s="44">
        <f>IF(OR(C47="",C47=0,F47=""),"",F47/C47)</f>
        <v/>
      </c>
      <c r="H47" s="34" t="n"/>
    </row>
    <row r="48">
      <c r="A48" s="45" t="n"/>
      <c r="B48" s="34" t="n"/>
      <c r="C48" s="34" t="n"/>
      <c r="D48" s="46">
        <f>IF(B48="","",IFERROR(INDEX(Products!$B$2:$B$101,MATCH(B48,Products!$A$2:$A$101,0)),"Unknown SKU"))</f>
        <v/>
      </c>
      <c r="E48" s="34" t="n"/>
      <c r="F48" s="36" t="n"/>
      <c r="G48" s="44">
        <f>IF(OR(C48="",C48=0,F48=""),"",F48/C48)</f>
        <v/>
      </c>
      <c r="H48" s="34" t="n"/>
    </row>
    <row r="49">
      <c r="A49" s="45" t="n"/>
      <c r="B49" s="34" t="n"/>
      <c r="C49" s="34" t="n"/>
      <c r="D49" s="46">
        <f>IF(B49="","",IFERROR(INDEX(Products!$B$2:$B$101,MATCH(B49,Products!$A$2:$A$101,0)),"Unknown SKU"))</f>
        <v/>
      </c>
      <c r="E49" s="34" t="n"/>
      <c r="F49" s="36" t="n"/>
      <c r="G49" s="44">
        <f>IF(OR(C49="",C49=0,F49=""),"",F49/C49)</f>
        <v/>
      </c>
      <c r="H49" s="34" t="n"/>
    </row>
    <row r="50">
      <c r="A50" s="45" t="n"/>
      <c r="B50" s="34" t="n"/>
      <c r="C50" s="34" t="n"/>
      <c r="D50" s="46">
        <f>IF(B50="","",IFERROR(INDEX(Products!$B$2:$B$101,MATCH(B50,Products!$A$2:$A$101,0)),"Unknown SKU"))</f>
        <v/>
      </c>
      <c r="E50" s="34" t="n"/>
      <c r="F50" s="36" t="n"/>
      <c r="G50" s="44">
        <f>IF(OR(C50="",C50=0,F50=""),"",F50/C50)</f>
        <v/>
      </c>
      <c r="H50" s="34" t="n"/>
    </row>
    <row r="51">
      <c r="A51" s="45" t="n"/>
      <c r="B51" s="34" t="n"/>
      <c r="C51" s="34" t="n"/>
      <c r="D51" s="46">
        <f>IF(B51="","",IFERROR(INDEX(Products!$B$2:$B$101,MATCH(B51,Products!$A$2:$A$101,0)),"Unknown SKU"))</f>
        <v/>
      </c>
      <c r="E51" s="34" t="n"/>
      <c r="F51" s="36" t="n"/>
      <c r="G51" s="44">
        <f>IF(OR(C51="",C51=0,F51=""),"",F51/C51)</f>
        <v/>
      </c>
      <c r="H51" s="34" t="n"/>
    </row>
    <row r="52">
      <c r="A52" s="45" t="n"/>
      <c r="B52" s="34" t="n"/>
      <c r="C52" s="34" t="n"/>
      <c r="D52" s="46">
        <f>IF(B52="","",IFERROR(INDEX(Products!$B$2:$B$101,MATCH(B52,Products!$A$2:$A$101,0)),"Unknown SKU"))</f>
        <v/>
      </c>
      <c r="E52" s="34" t="n"/>
      <c r="F52" s="36" t="n"/>
      <c r="G52" s="44">
        <f>IF(OR(C52="",C52=0,F52=""),"",F52/C52)</f>
        <v/>
      </c>
      <c r="H52" s="34" t="n"/>
    </row>
    <row r="53">
      <c r="A53" s="45" t="n"/>
      <c r="B53" s="34" t="n"/>
      <c r="C53" s="34" t="n"/>
      <c r="D53" s="46">
        <f>IF(B53="","",IFERROR(INDEX(Products!$B$2:$B$101,MATCH(B53,Products!$A$2:$A$101,0)),"Unknown SKU"))</f>
        <v/>
      </c>
      <c r="E53" s="34" t="n"/>
      <c r="F53" s="36" t="n"/>
      <c r="G53" s="44">
        <f>IF(OR(C53="",C53=0,F53=""),"",F53/C53)</f>
        <v/>
      </c>
      <c r="H53" s="34" t="n"/>
    </row>
    <row r="54">
      <c r="A54" s="45" t="n"/>
      <c r="B54" s="34" t="n"/>
      <c r="C54" s="34" t="n"/>
      <c r="D54" s="46">
        <f>IF(B54="","",IFERROR(INDEX(Products!$B$2:$B$101,MATCH(B54,Products!$A$2:$A$101,0)),"Unknown SKU"))</f>
        <v/>
      </c>
      <c r="E54" s="34" t="n"/>
      <c r="F54" s="36" t="n"/>
      <c r="G54" s="44">
        <f>IF(OR(C54="",C54=0,F54=""),"",F54/C54)</f>
        <v/>
      </c>
      <c r="H54" s="34" t="n"/>
    </row>
    <row r="55">
      <c r="A55" s="45" t="n"/>
      <c r="B55" s="34" t="n"/>
      <c r="C55" s="34" t="n"/>
      <c r="D55" s="46">
        <f>IF(B55="","",IFERROR(INDEX(Products!$B$2:$B$101,MATCH(B55,Products!$A$2:$A$101,0)),"Unknown SKU"))</f>
        <v/>
      </c>
      <c r="E55" s="34" t="n"/>
      <c r="F55" s="36" t="n"/>
      <c r="G55" s="44">
        <f>IF(OR(C55="",C55=0,F55=""),"",F55/C55)</f>
        <v/>
      </c>
      <c r="H55" s="34" t="n"/>
    </row>
    <row r="56">
      <c r="A56" s="45" t="n"/>
      <c r="B56" s="34" t="n"/>
      <c r="C56" s="34" t="n"/>
      <c r="D56" s="46">
        <f>IF(B56="","",IFERROR(INDEX(Products!$B$2:$B$101,MATCH(B56,Products!$A$2:$A$101,0)),"Unknown SKU"))</f>
        <v/>
      </c>
      <c r="E56" s="34" t="n"/>
      <c r="F56" s="36" t="n"/>
      <c r="G56" s="44">
        <f>IF(OR(C56="",C56=0,F56=""),"",F56/C56)</f>
        <v/>
      </c>
      <c r="H56" s="34" t="n"/>
    </row>
    <row r="57">
      <c r="A57" s="45" t="n"/>
      <c r="B57" s="34" t="n"/>
      <c r="C57" s="34" t="n"/>
      <c r="D57" s="46">
        <f>IF(B57="","",IFERROR(INDEX(Products!$B$2:$B$101,MATCH(B57,Products!$A$2:$A$101,0)),"Unknown SKU"))</f>
        <v/>
      </c>
      <c r="E57" s="34" t="n"/>
      <c r="F57" s="36" t="n"/>
      <c r="G57" s="44">
        <f>IF(OR(C57="",C57=0,F57=""),"",F57/C57)</f>
        <v/>
      </c>
      <c r="H57" s="34" t="n"/>
    </row>
    <row r="58">
      <c r="A58" s="45" t="n"/>
      <c r="B58" s="34" t="n"/>
      <c r="C58" s="34" t="n"/>
      <c r="D58" s="46">
        <f>IF(B58="","",IFERROR(INDEX(Products!$B$2:$B$101,MATCH(B58,Products!$A$2:$A$101,0)),"Unknown SKU"))</f>
        <v/>
      </c>
      <c r="E58" s="34" t="n"/>
      <c r="F58" s="36" t="n"/>
      <c r="G58" s="44">
        <f>IF(OR(C58="",C58=0,F58=""),"",F58/C58)</f>
        <v/>
      </c>
      <c r="H58" s="34" t="n"/>
    </row>
    <row r="59">
      <c r="A59" s="45" t="n"/>
      <c r="B59" s="34" t="n"/>
      <c r="C59" s="34" t="n"/>
      <c r="D59" s="46">
        <f>IF(B59="","",IFERROR(INDEX(Products!$B$2:$B$101,MATCH(B59,Products!$A$2:$A$101,0)),"Unknown SKU"))</f>
        <v/>
      </c>
      <c r="E59" s="34" t="n"/>
      <c r="F59" s="36" t="n"/>
      <c r="G59" s="44">
        <f>IF(OR(C59="",C59=0,F59=""),"",F59/C59)</f>
        <v/>
      </c>
      <c r="H59" s="34" t="n"/>
    </row>
    <row r="60">
      <c r="A60" s="45" t="n"/>
      <c r="B60" s="34" t="n"/>
      <c r="C60" s="34" t="n"/>
      <c r="D60" s="46">
        <f>IF(B60="","",IFERROR(INDEX(Products!$B$2:$B$101,MATCH(B60,Products!$A$2:$A$101,0)),"Unknown SKU"))</f>
        <v/>
      </c>
      <c r="E60" s="34" t="n"/>
      <c r="F60" s="36" t="n"/>
      <c r="G60" s="44">
        <f>IF(OR(C60="",C60=0,F60=""),"",F60/C60)</f>
        <v/>
      </c>
      <c r="H60" s="34" t="n"/>
    </row>
    <row r="61">
      <c r="A61" s="45" t="n"/>
      <c r="B61" s="34" t="n"/>
      <c r="C61" s="34" t="n"/>
      <c r="D61" s="46">
        <f>IF(B61="","",IFERROR(INDEX(Products!$B$2:$B$101,MATCH(B61,Products!$A$2:$A$101,0)),"Unknown SKU"))</f>
        <v/>
      </c>
      <c r="E61" s="34" t="n"/>
      <c r="F61" s="36" t="n"/>
      <c r="G61" s="44">
        <f>IF(OR(C61="",C61=0,F61=""),"",F61/C61)</f>
        <v/>
      </c>
      <c r="H61" s="34" t="n"/>
    </row>
    <row r="62">
      <c r="A62" s="45" t="n"/>
      <c r="B62" s="34" t="n"/>
      <c r="C62" s="34" t="n"/>
      <c r="D62" s="46">
        <f>IF(B62="","",IFERROR(INDEX(Products!$B$2:$B$101,MATCH(B62,Products!$A$2:$A$101,0)),"Unknown SKU"))</f>
        <v/>
      </c>
      <c r="E62" s="34" t="n"/>
      <c r="F62" s="36" t="n"/>
      <c r="G62" s="44">
        <f>IF(OR(C62="",C62=0,F62=""),"",F62/C62)</f>
        <v/>
      </c>
      <c r="H62" s="34" t="n"/>
    </row>
    <row r="63">
      <c r="A63" s="45" t="n"/>
      <c r="B63" s="34" t="n"/>
      <c r="C63" s="34" t="n"/>
      <c r="D63" s="46">
        <f>IF(B63="","",IFERROR(INDEX(Products!$B$2:$B$101,MATCH(B63,Products!$A$2:$A$101,0)),"Unknown SKU"))</f>
        <v/>
      </c>
      <c r="E63" s="34" t="n"/>
      <c r="F63" s="36" t="n"/>
      <c r="G63" s="44">
        <f>IF(OR(C63="",C63=0,F63=""),"",F63/C63)</f>
        <v/>
      </c>
      <c r="H63" s="34" t="n"/>
    </row>
    <row r="64">
      <c r="A64" s="45" t="n"/>
      <c r="B64" s="34" t="n"/>
      <c r="C64" s="34" t="n"/>
      <c r="D64" s="46">
        <f>IF(B64="","",IFERROR(INDEX(Products!$B$2:$B$101,MATCH(B64,Products!$A$2:$A$101,0)),"Unknown SKU"))</f>
        <v/>
      </c>
      <c r="E64" s="34" t="n"/>
      <c r="F64" s="36" t="n"/>
      <c r="G64" s="44">
        <f>IF(OR(C64="",C64=0,F64=""),"",F64/C64)</f>
        <v/>
      </c>
      <c r="H64" s="34" t="n"/>
    </row>
    <row r="65">
      <c r="A65" s="45" t="n"/>
      <c r="B65" s="34" t="n"/>
      <c r="C65" s="34" t="n"/>
      <c r="D65" s="46">
        <f>IF(B65="","",IFERROR(INDEX(Products!$B$2:$B$101,MATCH(B65,Products!$A$2:$A$101,0)),"Unknown SKU"))</f>
        <v/>
      </c>
      <c r="E65" s="34" t="n"/>
      <c r="F65" s="36" t="n"/>
      <c r="G65" s="44">
        <f>IF(OR(C65="",C65=0,F65=""),"",F65/C65)</f>
        <v/>
      </c>
      <c r="H65" s="34" t="n"/>
    </row>
    <row r="66">
      <c r="A66" s="45" t="n"/>
      <c r="B66" s="34" t="n"/>
      <c r="C66" s="34" t="n"/>
      <c r="D66" s="46">
        <f>IF(B66="","",IFERROR(INDEX(Products!$B$2:$B$101,MATCH(B66,Products!$A$2:$A$101,0)),"Unknown SKU"))</f>
        <v/>
      </c>
      <c r="E66" s="34" t="n"/>
      <c r="F66" s="36" t="n"/>
      <c r="G66" s="44">
        <f>IF(OR(C66="",C66=0,F66=""),"",F66/C66)</f>
        <v/>
      </c>
      <c r="H66" s="34" t="n"/>
    </row>
    <row r="67">
      <c r="A67" s="45" t="n"/>
      <c r="B67" s="34" t="n"/>
      <c r="C67" s="34" t="n"/>
      <c r="D67" s="46">
        <f>IF(B67="","",IFERROR(INDEX(Products!$B$2:$B$101,MATCH(B67,Products!$A$2:$A$101,0)),"Unknown SKU"))</f>
        <v/>
      </c>
      <c r="E67" s="34" t="n"/>
      <c r="F67" s="36" t="n"/>
      <c r="G67" s="44">
        <f>IF(OR(C67="",C67=0,F67=""),"",F67/C67)</f>
        <v/>
      </c>
      <c r="H67" s="34" t="n"/>
    </row>
    <row r="68">
      <c r="A68" s="45" t="n"/>
      <c r="B68" s="34" t="n"/>
      <c r="C68" s="34" t="n"/>
      <c r="D68" s="46">
        <f>IF(B68="","",IFERROR(INDEX(Products!$B$2:$B$101,MATCH(B68,Products!$A$2:$A$101,0)),"Unknown SKU"))</f>
        <v/>
      </c>
      <c r="E68" s="34" t="n"/>
      <c r="F68" s="36" t="n"/>
      <c r="G68" s="44">
        <f>IF(OR(C68="",C68=0,F68=""),"",F68/C68)</f>
        <v/>
      </c>
      <c r="H68" s="34" t="n"/>
    </row>
    <row r="69">
      <c r="A69" s="45" t="n"/>
      <c r="B69" s="34" t="n"/>
      <c r="C69" s="34" t="n"/>
      <c r="D69" s="46">
        <f>IF(B69="","",IFERROR(INDEX(Products!$B$2:$B$101,MATCH(B69,Products!$A$2:$A$101,0)),"Unknown SKU"))</f>
        <v/>
      </c>
      <c r="E69" s="34" t="n"/>
      <c r="F69" s="36" t="n"/>
      <c r="G69" s="44">
        <f>IF(OR(C69="",C69=0,F69=""),"",F69/C69)</f>
        <v/>
      </c>
      <c r="H69" s="34" t="n"/>
    </row>
    <row r="70">
      <c r="A70" s="45" t="n"/>
      <c r="B70" s="34" t="n"/>
      <c r="C70" s="34" t="n"/>
      <c r="D70" s="46">
        <f>IF(B70="","",IFERROR(INDEX(Products!$B$2:$B$101,MATCH(B70,Products!$A$2:$A$101,0)),"Unknown SKU"))</f>
        <v/>
      </c>
      <c r="E70" s="34" t="n"/>
      <c r="F70" s="36" t="n"/>
      <c r="G70" s="44">
        <f>IF(OR(C70="",C70=0,F70=""),"",F70/C70)</f>
        <v/>
      </c>
      <c r="H70" s="34" t="n"/>
    </row>
    <row r="71">
      <c r="A71" s="45" t="n"/>
      <c r="B71" s="34" t="n"/>
      <c r="C71" s="34" t="n"/>
      <c r="D71" s="46">
        <f>IF(B71="","",IFERROR(INDEX(Products!$B$2:$B$101,MATCH(B71,Products!$A$2:$A$101,0)),"Unknown SKU"))</f>
        <v/>
      </c>
      <c r="E71" s="34" t="n"/>
      <c r="F71" s="36" t="n"/>
      <c r="G71" s="44">
        <f>IF(OR(C71="",C71=0,F71=""),"",F71/C71)</f>
        <v/>
      </c>
      <c r="H71" s="34" t="n"/>
    </row>
    <row r="72">
      <c r="A72" s="45" t="n"/>
      <c r="B72" s="34" t="n"/>
      <c r="C72" s="34" t="n"/>
      <c r="D72" s="46">
        <f>IF(B72="","",IFERROR(INDEX(Products!$B$2:$B$101,MATCH(B72,Products!$A$2:$A$101,0)),"Unknown SKU"))</f>
        <v/>
      </c>
      <c r="E72" s="34" t="n"/>
      <c r="F72" s="36" t="n"/>
      <c r="G72" s="44">
        <f>IF(OR(C72="",C72=0,F72=""),"",F72/C72)</f>
        <v/>
      </c>
      <c r="H72" s="34" t="n"/>
    </row>
    <row r="73">
      <c r="A73" s="45" t="n"/>
      <c r="B73" s="34" t="n"/>
      <c r="C73" s="34" t="n"/>
      <c r="D73" s="46">
        <f>IF(B73="","",IFERROR(INDEX(Products!$B$2:$B$101,MATCH(B73,Products!$A$2:$A$101,0)),"Unknown SKU"))</f>
        <v/>
      </c>
      <c r="E73" s="34" t="n"/>
      <c r="F73" s="36" t="n"/>
      <c r="G73" s="44">
        <f>IF(OR(C73="",C73=0,F73=""),"",F73/C73)</f>
        <v/>
      </c>
      <c r="H73" s="34" t="n"/>
    </row>
    <row r="74">
      <c r="A74" s="45" t="n"/>
      <c r="B74" s="34" t="n"/>
      <c r="C74" s="34" t="n"/>
      <c r="D74" s="46">
        <f>IF(B74="","",IFERROR(INDEX(Products!$B$2:$B$101,MATCH(B74,Products!$A$2:$A$101,0)),"Unknown SKU"))</f>
        <v/>
      </c>
      <c r="E74" s="34" t="n"/>
      <c r="F74" s="36" t="n"/>
      <c r="G74" s="44">
        <f>IF(OR(C74="",C74=0,F74=""),"",F74/C74)</f>
        <v/>
      </c>
      <c r="H74" s="34" t="n"/>
    </row>
    <row r="75">
      <c r="A75" s="45" t="n"/>
      <c r="B75" s="34" t="n"/>
      <c r="C75" s="34" t="n"/>
      <c r="D75" s="46">
        <f>IF(B75="","",IFERROR(INDEX(Products!$B$2:$B$101,MATCH(B75,Products!$A$2:$A$101,0)),"Unknown SKU"))</f>
        <v/>
      </c>
      <c r="E75" s="34" t="n"/>
      <c r="F75" s="36" t="n"/>
      <c r="G75" s="44">
        <f>IF(OR(C75="",C75=0,F75=""),"",F75/C75)</f>
        <v/>
      </c>
      <c r="H75" s="34" t="n"/>
    </row>
    <row r="76">
      <c r="A76" s="45" t="n"/>
      <c r="B76" s="34" t="n"/>
      <c r="C76" s="34" t="n"/>
      <c r="D76" s="46">
        <f>IF(B76="","",IFERROR(INDEX(Products!$B$2:$B$101,MATCH(B76,Products!$A$2:$A$101,0)),"Unknown SKU"))</f>
        <v/>
      </c>
      <c r="E76" s="34" t="n"/>
      <c r="F76" s="36" t="n"/>
      <c r="G76" s="44">
        <f>IF(OR(C76="",C76=0,F76=""),"",F76/C76)</f>
        <v/>
      </c>
      <c r="H76" s="34" t="n"/>
    </row>
    <row r="77">
      <c r="A77" s="45" t="n"/>
      <c r="B77" s="34" t="n"/>
      <c r="C77" s="34" t="n"/>
      <c r="D77" s="46">
        <f>IF(B77="","",IFERROR(INDEX(Products!$B$2:$B$101,MATCH(B77,Products!$A$2:$A$101,0)),"Unknown SKU"))</f>
        <v/>
      </c>
      <c r="E77" s="34" t="n"/>
      <c r="F77" s="36" t="n"/>
      <c r="G77" s="44">
        <f>IF(OR(C77="",C77=0,F77=""),"",F77/C77)</f>
        <v/>
      </c>
      <c r="H77" s="34" t="n"/>
    </row>
    <row r="78">
      <c r="A78" s="45" t="n"/>
      <c r="B78" s="34" t="n"/>
      <c r="C78" s="34" t="n"/>
      <c r="D78" s="46">
        <f>IF(B78="","",IFERROR(INDEX(Products!$B$2:$B$101,MATCH(B78,Products!$A$2:$A$101,0)),"Unknown SKU"))</f>
        <v/>
      </c>
      <c r="E78" s="34" t="n"/>
      <c r="F78" s="36" t="n"/>
      <c r="G78" s="44">
        <f>IF(OR(C78="",C78=0,F78=""),"",F78/C78)</f>
        <v/>
      </c>
      <c r="H78" s="34" t="n"/>
    </row>
    <row r="79">
      <c r="A79" s="45" t="n"/>
      <c r="B79" s="34" t="n"/>
      <c r="C79" s="34" t="n"/>
      <c r="D79" s="46">
        <f>IF(B79="","",IFERROR(INDEX(Products!$B$2:$B$101,MATCH(B79,Products!$A$2:$A$101,0)),"Unknown SKU"))</f>
        <v/>
      </c>
      <c r="E79" s="34" t="n"/>
      <c r="F79" s="36" t="n"/>
      <c r="G79" s="44">
        <f>IF(OR(C79="",C79=0,F79=""),"",F79/C79)</f>
        <v/>
      </c>
      <c r="H79" s="34" t="n"/>
    </row>
    <row r="80">
      <c r="A80" s="45" t="n"/>
      <c r="B80" s="34" t="n"/>
      <c r="C80" s="34" t="n"/>
      <c r="D80" s="46">
        <f>IF(B80="","",IFERROR(INDEX(Products!$B$2:$B$101,MATCH(B80,Products!$A$2:$A$101,0)),"Unknown SKU"))</f>
        <v/>
      </c>
      <c r="E80" s="34" t="n"/>
      <c r="F80" s="36" t="n"/>
      <c r="G80" s="44">
        <f>IF(OR(C80="",C80=0,F80=""),"",F80/C80)</f>
        <v/>
      </c>
      <c r="H80" s="34" t="n"/>
    </row>
    <row r="81">
      <c r="A81" s="45" t="n"/>
      <c r="B81" s="34" t="n"/>
      <c r="C81" s="34" t="n"/>
      <c r="D81" s="46">
        <f>IF(B81="","",IFERROR(INDEX(Products!$B$2:$B$101,MATCH(B81,Products!$A$2:$A$101,0)),"Unknown SKU"))</f>
        <v/>
      </c>
      <c r="E81" s="34" t="n"/>
      <c r="F81" s="36" t="n"/>
      <c r="G81" s="44">
        <f>IF(OR(C81="",C81=0,F81=""),"",F81/C81)</f>
        <v/>
      </c>
      <c r="H81" s="34" t="n"/>
    </row>
    <row r="82">
      <c r="A82" s="45" t="n"/>
      <c r="B82" s="34" t="n"/>
      <c r="C82" s="34" t="n"/>
      <c r="D82" s="46">
        <f>IF(B82="","",IFERROR(INDEX(Products!$B$2:$B$101,MATCH(B82,Products!$A$2:$A$101,0)),"Unknown SKU"))</f>
        <v/>
      </c>
      <c r="E82" s="34" t="n"/>
      <c r="F82" s="36" t="n"/>
      <c r="G82" s="44">
        <f>IF(OR(C82="",C82=0,F82=""),"",F82/C82)</f>
        <v/>
      </c>
      <c r="H82" s="34" t="n"/>
    </row>
    <row r="83">
      <c r="A83" s="45" t="n"/>
      <c r="B83" s="34" t="n"/>
      <c r="C83" s="34" t="n"/>
      <c r="D83" s="46">
        <f>IF(B83="","",IFERROR(INDEX(Products!$B$2:$B$101,MATCH(B83,Products!$A$2:$A$101,0)),"Unknown SKU"))</f>
        <v/>
      </c>
      <c r="E83" s="34" t="n"/>
      <c r="F83" s="36" t="n"/>
      <c r="G83" s="44">
        <f>IF(OR(C83="",C83=0,F83=""),"",F83/C83)</f>
        <v/>
      </c>
      <c r="H83" s="34" t="n"/>
    </row>
    <row r="84">
      <c r="A84" s="45" t="n"/>
      <c r="B84" s="34" t="n"/>
      <c r="C84" s="34" t="n"/>
      <c r="D84" s="46">
        <f>IF(B84="","",IFERROR(INDEX(Products!$B$2:$B$101,MATCH(B84,Products!$A$2:$A$101,0)),"Unknown SKU"))</f>
        <v/>
      </c>
      <c r="E84" s="34" t="n"/>
      <c r="F84" s="36" t="n"/>
      <c r="G84" s="44">
        <f>IF(OR(C84="",C84=0,F84=""),"",F84/C84)</f>
        <v/>
      </c>
      <c r="H84" s="34" t="n"/>
    </row>
    <row r="85">
      <c r="A85" s="45" t="n"/>
      <c r="B85" s="34" t="n"/>
      <c r="C85" s="34" t="n"/>
      <c r="D85" s="46">
        <f>IF(B85="","",IFERROR(INDEX(Products!$B$2:$B$101,MATCH(B85,Products!$A$2:$A$101,0)),"Unknown SKU"))</f>
        <v/>
      </c>
      <c r="E85" s="34" t="n"/>
      <c r="F85" s="36" t="n"/>
      <c r="G85" s="44">
        <f>IF(OR(C85="",C85=0,F85=""),"",F85/C85)</f>
        <v/>
      </c>
      <c r="H85" s="34" t="n"/>
    </row>
    <row r="86">
      <c r="A86" s="45" t="n"/>
      <c r="B86" s="34" t="n"/>
      <c r="C86" s="34" t="n"/>
      <c r="D86" s="46">
        <f>IF(B86="","",IFERROR(INDEX(Products!$B$2:$B$101,MATCH(B86,Products!$A$2:$A$101,0)),"Unknown SKU"))</f>
        <v/>
      </c>
      <c r="E86" s="34" t="n"/>
      <c r="F86" s="36" t="n"/>
      <c r="G86" s="44">
        <f>IF(OR(C86="",C86=0,F86=""),"",F86/C86)</f>
        <v/>
      </c>
      <c r="H86" s="34" t="n"/>
    </row>
    <row r="87">
      <c r="A87" s="45" t="n"/>
      <c r="B87" s="34" t="n"/>
      <c r="C87" s="34" t="n"/>
      <c r="D87" s="46">
        <f>IF(B87="","",IFERROR(INDEX(Products!$B$2:$B$101,MATCH(B87,Products!$A$2:$A$101,0)),"Unknown SKU"))</f>
        <v/>
      </c>
      <c r="E87" s="34" t="n"/>
      <c r="F87" s="36" t="n"/>
      <c r="G87" s="44">
        <f>IF(OR(C87="",C87=0,F87=""),"",F87/C87)</f>
        <v/>
      </c>
      <c r="H87" s="34" t="n"/>
    </row>
    <row r="88">
      <c r="A88" s="45" t="n"/>
      <c r="B88" s="34" t="n"/>
      <c r="C88" s="34" t="n"/>
      <c r="D88" s="46">
        <f>IF(B88="","",IFERROR(INDEX(Products!$B$2:$B$101,MATCH(B88,Products!$A$2:$A$101,0)),"Unknown SKU"))</f>
        <v/>
      </c>
      <c r="E88" s="34" t="n"/>
      <c r="F88" s="36" t="n"/>
      <c r="G88" s="44">
        <f>IF(OR(C88="",C88=0,F88=""),"",F88/C88)</f>
        <v/>
      </c>
      <c r="H88" s="34" t="n"/>
    </row>
    <row r="89">
      <c r="A89" s="45" t="n"/>
      <c r="B89" s="34" t="n"/>
      <c r="C89" s="34" t="n"/>
      <c r="D89" s="46">
        <f>IF(B89="","",IFERROR(INDEX(Products!$B$2:$B$101,MATCH(B89,Products!$A$2:$A$101,0)),"Unknown SKU"))</f>
        <v/>
      </c>
      <c r="E89" s="34" t="n"/>
      <c r="F89" s="36" t="n"/>
      <c r="G89" s="44">
        <f>IF(OR(C89="",C89=0,F89=""),"",F89/C89)</f>
        <v/>
      </c>
      <c r="H89" s="34" t="n"/>
    </row>
    <row r="90">
      <c r="A90" s="45" t="n"/>
      <c r="B90" s="34" t="n"/>
      <c r="C90" s="34" t="n"/>
      <c r="D90" s="46">
        <f>IF(B90="","",IFERROR(INDEX(Products!$B$2:$B$101,MATCH(B90,Products!$A$2:$A$101,0)),"Unknown SKU"))</f>
        <v/>
      </c>
      <c r="E90" s="34" t="n"/>
      <c r="F90" s="36" t="n"/>
      <c r="G90" s="44">
        <f>IF(OR(C90="",C90=0,F90=""),"",F90/C90)</f>
        <v/>
      </c>
      <c r="H90" s="34" t="n"/>
    </row>
    <row r="91">
      <c r="A91" s="45" t="n"/>
      <c r="B91" s="34" t="n"/>
      <c r="C91" s="34" t="n"/>
      <c r="D91" s="46">
        <f>IF(B91="","",IFERROR(INDEX(Products!$B$2:$B$101,MATCH(B91,Products!$A$2:$A$101,0)),"Unknown SKU"))</f>
        <v/>
      </c>
      <c r="E91" s="34" t="n"/>
      <c r="F91" s="36" t="n"/>
      <c r="G91" s="44">
        <f>IF(OR(C91="",C91=0,F91=""),"",F91/C91)</f>
        <v/>
      </c>
      <c r="H91" s="34" t="n"/>
    </row>
    <row r="92">
      <c r="A92" s="45" t="n"/>
      <c r="B92" s="34" t="n"/>
      <c r="C92" s="34" t="n"/>
      <c r="D92" s="46">
        <f>IF(B92="","",IFERROR(INDEX(Products!$B$2:$B$101,MATCH(B92,Products!$A$2:$A$101,0)),"Unknown SKU"))</f>
        <v/>
      </c>
      <c r="E92" s="34" t="n"/>
      <c r="F92" s="36" t="n"/>
      <c r="G92" s="44">
        <f>IF(OR(C92="",C92=0,F92=""),"",F92/C92)</f>
        <v/>
      </c>
      <c r="H92" s="34" t="n"/>
    </row>
    <row r="93">
      <c r="A93" s="45" t="n"/>
      <c r="B93" s="34" t="n"/>
      <c r="C93" s="34" t="n"/>
      <c r="D93" s="46">
        <f>IF(B93="","",IFERROR(INDEX(Products!$B$2:$B$101,MATCH(B93,Products!$A$2:$A$101,0)),"Unknown SKU"))</f>
        <v/>
      </c>
      <c r="E93" s="34" t="n"/>
      <c r="F93" s="36" t="n"/>
      <c r="G93" s="44">
        <f>IF(OR(C93="",C93=0,F93=""),"",F93/C93)</f>
        <v/>
      </c>
      <c r="H93" s="34" t="n"/>
    </row>
    <row r="94">
      <c r="A94" s="45" t="n"/>
      <c r="B94" s="34" t="n"/>
      <c r="C94" s="34" t="n"/>
      <c r="D94" s="46">
        <f>IF(B94="","",IFERROR(INDEX(Products!$B$2:$B$101,MATCH(B94,Products!$A$2:$A$101,0)),"Unknown SKU"))</f>
        <v/>
      </c>
      <c r="E94" s="34" t="n"/>
      <c r="F94" s="36" t="n"/>
      <c r="G94" s="44">
        <f>IF(OR(C94="",C94=0,F94=""),"",F94/C94)</f>
        <v/>
      </c>
      <c r="H94" s="34" t="n"/>
    </row>
    <row r="95">
      <c r="A95" s="45" t="n"/>
      <c r="B95" s="34" t="n"/>
      <c r="C95" s="34" t="n"/>
      <c r="D95" s="46">
        <f>IF(B95="","",IFERROR(INDEX(Products!$B$2:$B$101,MATCH(B95,Products!$A$2:$A$101,0)),"Unknown SKU"))</f>
        <v/>
      </c>
      <c r="E95" s="34" t="n"/>
      <c r="F95" s="36" t="n"/>
      <c r="G95" s="44">
        <f>IF(OR(C95="",C95=0,F95=""),"",F95/C95)</f>
        <v/>
      </c>
      <c r="H95" s="34" t="n"/>
    </row>
    <row r="96">
      <c r="A96" s="45" t="n"/>
      <c r="B96" s="34" t="n"/>
      <c r="C96" s="34" t="n"/>
      <c r="D96" s="46">
        <f>IF(B96="","",IFERROR(INDEX(Products!$B$2:$B$101,MATCH(B96,Products!$A$2:$A$101,0)),"Unknown SKU"))</f>
        <v/>
      </c>
      <c r="E96" s="34" t="n"/>
      <c r="F96" s="36" t="n"/>
      <c r="G96" s="44">
        <f>IF(OR(C96="",C96=0,F96=""),"",F96/C96)</f>
        <v/>
      </c>
      <c r="H96" s="34" t="n"/>
    </row>
    <row r="97">
      <c r="A97" s="45" t="n"/>
      <c r="B97" s="34" t="n"/>
      <c r="C97" s="34" t="n"/>
      <c r="D97" s="46">
        <f>IF(B97="","",IFERROR(INDEX(Products!$B$2:$B$101,MATCH(B97,Products!$A$2:$A$101,0)),"Unknown SKU"))</f>
        <v/>
      </c>
      <c r="E97" s="34" t="n"/>
      <c r="F97" s="36" t="n"/>
      <c r="G97" s="44">
        <f>IF(OR(C97="",C97=0,F97=""),"",F97/C97)</f>
        <v/>
      </c>
      <c r="H97" s="34" t="n"/>
    </row>
    <row r="98">
      <c r="A98" s="45" t="n"/>
      <c r="B98" s="34" t="n"/>
      <c r="C98" s="34" t="n"/>
      <c r="D98" s="46">
        <f>IF(B98="","",IFERROR(INDEX(Products!$B$2:$B$101,MATCH(B98,Products!$A$2:$A$101,0)),"Unknown SKU"))</f>
        <v/>
      </c>
      <c r="E98" s="34" t="n"/>
      <c r="F98" s="36" t="n"/>
      <c r="G98" s="44">
        <f>IF(OR(C98="",C98=0,F98=""),"",F98/C98)</f>
        <v/>
      </c>
      <c r="H98" s="34" t="n"/>
    </row>
    <row r="99">
      <c r="A99" s="45" t="n"/>
      <c r="B99" s="34" t="n"/>
      <c r="C99" s="34" t="n"/>
      <c r="D99" s="46">
        <f>IF(B99="","",IFERROR(INDEX(Products!$B$2:$B$101,MATCH(B99,Products!$A$2:$A$101,0)),"Unknown SKU"))</f>
        <v/>
      </c>
      <c r="E99" s="34" t="n"/>
      <c r="F99" s="36" t="n"/>
      <c r="G99" s="44">
        <f>IF(OR(C99="",C99=0,F99=""),"",F99/C99)</f>
        <v/>
      </c>
      <c r="H99" s="34" t="n"/>
    </row>
    <row r="100">
      <c r="A100" s="45" t="n"/>
      <c r="B100" s="34" t="n"/>
      <c r="C100" s="34" t="n"/>
      <c r="D100" s="46">
        <f>IF(B100="","",IFERROR(INDEX(Products!$B$2:$B$101,MATCH(B100,Products!$A$2:$A$101,0)),"Unknown SKU"))</f>
        <v/>
      </c>
      <c r="E100" s="34" t="n"/>
      <c r="F100" s="36" t="n"/>
      <c r="G100" s="44">
        <f>IF(OR(C100="",C100=0,F100=""),"",F100/C100)</f>
        <v/>
      </c>
      <c r="H100" s="34" t="n"/>
    </row>
    <row r="101">
      <c r="A101" s="45" t="n"/>
      <c r="B101" s="34" t="n"/>
      <c r="C101" s="34" t="n"/>
      <c r="D101" s="46">
        <f>IF(B101="","",IFERROR(INDEX(Products!$B$2:$B$101,MATCH(B101,Products!$A$2:$A$101,0)),"Unknown SKU"))</f>
        <v/>
      </c>
      <c r="E101" s="34" t="n"/>
      <c r="F101" s="36" t="n"/>
      <c r="G101" s="44">
        <f>IF(OR(C101="",C101=0,F101=""),"",F101/C101)</f>
        <v/>
      </c>
      <c r="H101" s="34" t="n"/>
    </row>
    <row r="102">
      <c r="A102" s="45" t="n"/>
      <c r="B102" s="34" t="n"/>
      <c r="C102" s="34" t="n"/>
      <c r="D102" s="46">
        <f>IF(B102="","",IFERROR(INDEX(Products!$B$2:$B$101,MATCH(B102,Products!$A$2:$A$101,0)),"Unknown SKU"))</f>
        <v/>
      </c>
      <c r="E102" s="34" t="n"/>
      <c r="F102" s="36" t="n"/>
      <c r="G102" s="44">
        <f>IF(OR(C102="",C102=0,F102=""),"",F102/C102)</f>
        <v/>
      </c>
      <c r="H102" s="34" t="n"/>
    </row>
    <row r="103">
      <c r="A103" s="45" t="n"/>
      <c r="B103" s="34" t="n"/>
      <c r="C103" s="34" t="n"/>
      <c r="D103" s="46">
        <f>IF(B103="","",IFERROR(INDEX(Products!$B$2:$B$101,MATCH(B103,Products!$A$2:$A$101,0)),"Unknown SKU"))</f>
        <v/>
      </c>
      <c r="E103" s="34" t="n"/>
      <c r="F103" s="36" t="n"/>
      <c r="G103" s="44">
        <f>IF(OR(C103="",C103=0,F103=""),"",F103/C103)</f>
        <v/>
      </c>
      <c r="H103" s="34" t="n"/>
    </row>
    <row r="104">
      <c r="A104" s="45" t="n"/>
      <c r="B104" s="34" t="n"/>
      <c r="C104" s="34" t="n"/>
      <c r="D104" s="46">
        <f>IF(B104="","",IFERROR(INDEX(Products!$B$2:$B$101,MATCH(B104,Products!$A$2:$A$101,0)),"Unknown SKU"))</f>
        <v/>
      </c>
      <c r="E104" s="34" t="n"/>
      <c r="F104" s="36" t="n"/>
      <c r="G104" s="44">
        <f>IF(OR(C104="",C104=0,F104=""),"",F104/C104)</f>
        <v/>
      </c>
      <c r="H104" s="34" t="n"/>
    </row>
    <row r="105">
      <c r="A105" s="45" t="n"/>
      <c r="B105" s="34" t="n"/>
      <c r="C105" s="34" t="n"/>
      <c r="D105" s="46">
        <f>IF(B105="","",IFERROR(INDEX(Products!$B$2:$B$101,MATCH(B105,Products!$A$2:$A$101,0)),"Unknown SKU"))</f>
        <v/>
      </c>
      <c r="E105" s="34" t="n"/>
      <c r="F105" s="36" t="n"/>
      <c r="G105" s="44">
        <f>IF(OR(C105="",C105=0,F105=""),"",F105/C105)</f>
        <v/>
      </c>
      <c r="H105" s="34" t="n"/>
    </row>
    <row r="106">
      <c r="A106" s="45" t="n"/>
      <c r="B106" s="34" t="n"/>
      <c r="C106" s="34" t="n"/>
      <c r="D106" s="46">
        <f>IF(B106="","",IFERROR(INDEX(Products!$B$2:$B$101,MATCH(B106,Products!$A$2:$A$101,0)),"Unknown SKU"))</f>
        <v/>
      </c>
      <c r="E106" s="34" t="n"/>
      <c r="F106" s="36" t="n"/>
      <c r="G106" s="44">
        <f>IF(OR(C106="",C106=0,F106=""),"",F106/C106)</f>
        <v/>
      </c>
      <c r="H106" s="34" t="n"/>
    </row>
    <row r="107">
      <c r="A107" s="45" t="n"/>
      <c r="B107" s="34" t="n"/>
      <c r="C107" s="34" t="n"/>
      <c r="D107" s="46">
        <f>IF(B107="","",IFERROR(INDEX(Products!$B$2:$B$101,MATCH(B107,Products!$A$2:$A$101,0)),"Unknown SKU"))</f>
        <v/>
      </c>
      <c r="E107" s="34" t="n"/>
      <c r="F107" s="36" t="n"/>
      <c r="G107" s="44">
        <f>IF(OR(C107="",C107=0,F107=""),"",F107/C107)</f>
        <v/>
      </c>
      <c r="H107" s="34" t="n"/>
    </row>
    <row r="108">
      <c r="A108" s="45" t="n"/>
      <c r="B108" s="34" t="n"/>
      <c r="C108" s="34" t="n"/>
      <c r="D108" s="46">
        <f>IF(B108="","",IFERROR(INDEX(Products!$B$2:$B$101,MATCH(B108,Products!$A$2:$A$101,0)),"Unknown SKU"))</f>
        <v/>
      </c>
      <c r="E108" s="34" t="n"/>
      <c r="F108" s="36" t="n"/>
      <c r="G108" s="44">
        <f>IF(OR(C108="",C108=0,F108=""),"",F108/C108)</f>
        <v/>
      </c>
      <c r="H108" s="34" t="n"/>
    </row>
    <row r="109">
      <c r="A109" s="45" t="n"/>
      <c r="B109" s="34" t="n"/>
      <c r="C109" s="34" t="n"/>
      <c r="D109" s="46">
        <f>IF(B109="","",IFERROR(INDEX(Products!$B$2:$B$101,MATCH(B109,Products!$A$2:$A$101,0)),"Unknown SKU"))</f>
        <v/>
      </c>
      <c r="E109" s="34" t="n"/>
      <c r="F109" s="36" t="n"/>
      <c r="G109" s="44">
        <f>IF(OR(C109="",C109=0,F109=""),"",F109/C109)</f>
        <v/>
      </c>
      <c r="H109" s="34" t="n"/>
    </row>
    <row r="110">
      <c r="A110" s="45" t="n"/>
      <c r="B110" s="34" t="n"/>
      <c r="C110" s="34" t="n"/>
      <c r="D110" s="46">
        <f>IF(B110="","",IFERROR(INDEX(Products!$B$2:$B$101,MATCH(B110,Products!$A$2:$A$101,0)),"Unknown SKU"))</f>
        <v/>
      </c>
      <c r="E110" s="34" t="n"/>
      <c r="F110" s="36" t="n"/>
      <c r="G110" s="44">
        <f>IF(OR(C110="",C110=0,F110=""),"",F110/C110)</f>
        <v/>
      </c>
      <c r="H110" s="34" t="n"/>
    </row>
    <row r="111">
      <c r="A111" s="45" t="n"/>
      <c r="B111" s="34" t="n"/>
      <c r="C111" s="34" t="n"/>
      <c r="D111" s="46">
        <f>IF(B111="","",IFERROR(INDEX(Products!$B$2:$B$101,MATCH(B111,Products!$A$2:$A$101,0)),"Unknown SKU"))</f>
        <v/>
      </c>
      <c r="E111" s="34" t="n"/>
      <c r="F111" s="36" t="n"/>
      <c r="G111" s="44">
        <f>IF(OR(C111="",C111=0,F111=""),"",F111/C111)</f>
        <v/>
      </c>
      <c r="H111" s="34" t="n"/>
    </row>
    <row r="112">
      <c r="A112" s="45" t="n"/>
      <c r="B112" s="34" t="n"/>
      <c r="C112" s="34" t="n"/>
      <c r="D112" s="46">
        <f>IF(B112="","",IFERROR(INDEX(Products!$B$2:$B$101,MATCH(B112,Products!$A$2:$A$101,0)),"Unknown SKU"))</f>
        <v/>
      </c>
      <c r="E112" s="34" t="n"/>
      <c r="F112" s="36" t="n"/>
      <c r="G112" s="44">
        <f>IF(OR(C112="",C112=0,F112=""),"",F112/C112)</f>
        <v/>
      </c>
      <c r="H112" s="34" t="n"/>
    </row>
    <row r="113">
      <c r="A113" s="45" t="n"/>
      <c r="B113" s="34" t="n"/>
      <c r="C113" s="34" t="n"/>
      <c r="D113" s="46">
        <f>IF(B113="","",IFERROR(INDEX(Products!$B$2:$B$101,MATCH(B113,Products!$A$2:$A$101,0)),"Unknown SKU"))</f>
        <v/>
      </c>
      <c r="E113" s="34" t="n"/>
      <c r="F113" s="36" t="n"/>
      <c r="G113" s="44">
        <f>IF(OR(C113="",C113=0,F113=""),"",F113/C113)</f>
        <v/>
      </c>
      <c r="H113" s="34" t="n"/>
    </row>
    <row r="114">
      <c r="A114" s="45" t="n"/>
      <c r="B114" s="34" t="n"/>
      <c r="C114" s="34" t="n"/>
      <c r="D114" s="46">
        <f>IF(B114="","",IFERROR(INDEX(Products!$B$2:$B$101,MATCH(B114,Products!$A$2:$A$101,0)),"Unknown SKU"))</f>
        <v/>
      </c>
      <c r="E114" s="34" t="n"/>
      <c r="F114" s="36" t="n"/>
      <c r="G114" s="44">
        <f>IF(OR(C114="",C114=0,F114=""),"",F114/C114)</f>
        <v/>
      </c>
      <c r="H114" s="34" t="n"/>
    </row>
    <row r="115">
      <c r="A115" s="45" t="n"/>
      <c r="B115" s="34" t="n"/>
      <c r="C115" s="34" t="n"/>
      <c r="D115" s="46">
        <f>IF(B115="","",IFERROR(INDEX(Products!$B$2:$B$101,MATCH(B115,Products!$A$2:$A$101,0)),"Unknown SKU"))</f>
        <v/>
      </c>
      <c r="E115" s="34" t="n"/>
      <c r="F115" s="36" t="n"/>
      <c r="G115" s="44">
        <f>IF(OR(C115="",C115=0,F115=""),"",F115/C115)</f>
        <v/>
      </c>
      <c r="H115" s="34" t="n"/>
    </row>
    <row r="116">
      <c r="A116" s="45" t="n"/>
      <c r="B116" s="34" t="n"/>
      <c r="C116" s="34" t="n"/>
      <c r="D116" s="46">
        <f>IF(B116="","",IFERROR(INDEX(Products!$B$2:$B$101,MATCH(B116,Products!$A$2:$A$101,0)),"Unknown SKU"))</f>
        <v/>
      </c>
      <c r="E116" s="34" t="n"/>
      <c r="F116" s="36" t="n"/>
      <c r="G116" s="44">
        <f>IF(OR(C116="",C116=0,F116=""),"",F116/C116)</f>
        <v/>
      </c>
      <c r="H116" s="34" t="n"/>
    </row>
    <row r="117">
      <c r="A117" s="45" t="n"/>
      <c r="B117" s="34" t="n"/>
      <c r="C117" s="34" t="n"/>
      <c r="D117" s="46">
        <f>IF(B117="","",IFERROR(INDEX(Products!$B$2:$B$101,MATCH(B117,Products!$A$2:$A$101,0)),"Unknown SKU"))</f>
        <v/>
      </c>
      <c r="E117" s="34" t="n"/>
      <c r="F117" s="36" t="n"/>
      <c r="G117" s="44">
        <f>IF(OR(C117="",C117=0,F117=""),"",F117/C117)</f>
        <v/>
      </c>
      <c r="H117" s="34" t="n"/>
    </row>
    <row r="118">
      <c r="A118" s="45" t="n"/>
      <c r="B118" s="34" t="n"/>
      <c r="C118" s="34" t="n"/>
      <c r="D118" s="46">
        <f>IF(B118="","",IFERROR(INDEX(Products!$B$2:$B$101,MATCH(B118,Products!$A$2:$A$101,0)),"Unknown SKU"))</f>
        <v/>
      </c>
      <c r="E118" s="34" t="n"/>
      <c r="F118" s="36" t="n"/>
      <c r="G118" s="44">
        <f>IF(OR(C118="",C118=0,F118=""),"",F118/C118)</f>
        <v/>
      </c>
      <c r="H118" s="34" t="n"/>
    </row>
    <row r="119">
      <c r="A119" s="45" t="n"/>
      <c r="B119" s="34" t="n"/>
      <c r="C119" s="34" t="n"/>
      <c r="D119" s="46">
        <f>IF(B119="","",IFERROR(INDEX(Products!$B$2:$B$101,MATCH(B119,Products!$A$2:$A$101,0)),"Unknown SKU"))</f>
        <v/>
      </c>
      <c r="E119" s="34" t="n"/>
      <c r="F119" s="36" t="n"/>
      <c r="G119" s="44">
        <f>IF(OR(C119="",C119=0,F119=""),"",F119/C119)</f>
        <v/>
      </c>
      <c r="H119" s="34" t="n"/>
    </row>
    <row r="120">
      <c r="A120" s="45" t="n"/>
      <c r="B120" s="34" t="n"/>
      <c r="C120" s="34" t="n"/>
      <c r="D120" s="46">
        <f>IF(B120="","",IFERROR(INDEX(Products!$B$2:$B$101,MATCH(B120,Products!$A$2:$A$101,0)),"Unknown SKU"))</f>
        <v/>
      </c>
      <c r="E120" s="34" t="n"/>
      <c r="F120" s="36" t="n"/>
      <c r="G120" s="44">
        <f>IF(OR(C120="",C120=0,F120=""),"",F120/C120)</f>
        <v/>
      </c>
      <c r="H120" s="34" t="n"/>
    </row>
    <row r="121">
      <c r="A121" s="45" t="n"/>
      <c r="B121" s="34" t="n"/>
      <c r="C121" s="34" t="n"/>
      <c r="D121" s="46">
        <f>IF(B121="","",IFERROR(INDEX(Products!$B$2:$B$101,MATCH(B121,Products!$A$2:$A$101,0)),"Unknown SKU"))</f>
        <v/>
      </c>
      <c r="E121" s="34" t="n"/>
      <c r="F121" s="36" t="n"/>
      <c r="G121" s="44">
        <f>IF(OR(C121="",C121=0,F121=""),"",F121/C121)</f>
        <v/>
      </c>
      <c r="H121" s="34" t="n"/>
    </row>
    <row r="122">
      <c r="A122" s="45" t="n"/>
      <c r="B122" s="34" t="n"/>
      <c r="C122" s="34" t="n"/>
      <c r="D122" s="46">
        <f>IF(B122="","",IFERROR(INDEX(Products!$B$2:$B$101,MATCH(B122,Products!$A$2:$A$101,0)),"Unknown SKU"))</f>
        <v/>
      </c>
      <c r="E122" s="34" t="n"/>
      <c r="F122" s="36" t="n"/>
      <c r="G122" s="44">
        <f>IF(OR(C122="",C122=0,F122=""),"",F122/C122)</f>
        <v/>
      </c>
      <c r="H122" s="34" t="n"/>
    </row>
    <row r="123">
      <c r="A123" s="45" t="n"/>
      <c r="B123" s="34" t="n"/>
      <c r="C123" s="34" t="n"/>
      <c r="D123" s="46">
        <f>IF(B123="","",IFERROR(INDEX(Products!$B$2:$B$101,MATCH(B123,Products!$A$2:$A$101,0)),"Unknown SKU"))</f>
        <v/>
      </c>
      <c r="E123" s="34" t="n"/>
      <c r="F123" s="36" t="n"/>
      <c r="G123" s="44">
        <f>IF(OR(C123="",C123=0,F123=""),"",F123/C123)</f>
        <v/>
      </c>
      <c r="H123" s="34" t="n"/>
    </row>
    <row r="124">
      <c r="A124" s="45" t="n"/>
      <c r="B124" s="34" t="n"/>
      <c r="C124" s="34" t="n"/>
      <c r="D124" s="46">
        <f>IF(B124="","",IFERROR(INDEX(Products!$B$2:$B$101,MATCH(B124,Products!$A$2:$A$101,0)),"Unknown SKU"))</f>
        <v/>
      </c>
      <c r="E124" s="34" t="n"/>
      <c r="F124" s="36" t="n"/>
      <c r="G124" s="44">
        <f>IF(OR(C124="",C124=0,F124=""),"",F124/C124)</f>
        <v/>
      </c>
      <c r="H124" s="34" t="n"/>
    </row>
    <row r="125">
      <c r="A125" s="45" t="n"/>
      <c r="B125" s="34" t="n"/>
      <c r="C125" s="34" t="n"/>
      <c r="D125" s="46">
        <f>IF(B125="","",IFERROR(INDEX(Products!$B$2:$B$101,MATCH(B125,Products!$A$2:$A$101,0)),"Unknown SKU"))</f>
        <v/>
      </c>
      <c r="E125" s="34" t="n"/>
      <c r="F125" s="36" t="n"/>
      <c r="G125" s="44">
        <f>IF(OR(C125="",C125=0,F125=""),"",F125/C125)</f>
        <v/>
      </c>
      <c r="H125" s="34" t="n"/>
    </row>
    <row r="126">
      <c r="A126" s="45" t="n"/>
      <c r="B126" s="34" t="n"/>
      <c r="C126" s="34" t="n"/>
      <c r="D126" s="46">
        <f>IF(B126="","",IFERROR(INDEX(Products!$B$2:$B$101,MATCH(B126,Products!$A$2:$A$101,0)),"Unknown SKU"))</f>
        <v/>
      </c>
      <c r="E126" s="34" t="n"/>
      <c r="F126" s="36" t="n"/>
      <c r="G126" s="44">
        <f>IF(OR(C126="",C126=0,F126=""),"",F126/C126)</f>
        <v/>
      </c>
      <c r="H126" s="34" t="n"/>
    </row>
    <row r="127">
      <c r="A127" s="45" t="n"/>
      <c r="B127" s="34" t="n"/>
      <c r="C127" s="34" t="n"/>
      <c r="D127" s="46">
        <f>IF(B127="","",IFERROR(INDEX(Products!$B$2:$B$101,MATCH(B127,Products!$A$2:$A$101,0)),"Unknown SKU"))</f>
        <v/>
      </c>
      <c r="E127" s="34" t="n"/>
      <c r="F127" s="36" t="n"/>
      <c r="G127" s="44">
        <f>IF(OR(C127="",C127=0,F127=""),"",F127/C127)</f>
        <v/>
      </c>
      <c r="H127" s="34" t="n"/>
    </row>
    <row r="128">
      <c r="A128" s="45" t="n"/>
      <c r="B128" s="34" t="n"/>
      <c r="C128" s="34" t="n"/>
      <c r="D128" s="46">
        <f>IF(B128="","",IFERROR(INDEX(Products!$B$2:$B$101,MATCH(B128,Products!$A$2:$A$101,0)),"Unknown SKU"))</f>
        <v/>
      </c>
      <c r="E128" s="34" t="n"/>
      <c r="F128" s="36" t="n"/>
      <c r="G128" s="44">
        <f>IF(OR(C128="",C128=0,F128=""),"",F128/C128)</f>
        <v/>
      </c>
      <c r="H128" s="34" t="n"/>
    </row>
    <row r="129">
      <c r="A129" s="45" t="n"/>
      <c r="B129" s="34" t="n"/>
      <c r="C129" s="34" t="n"/>
      <c r="D129" s="46">
        <f>IF(B129="","",IFERROR(INDEX(Products!$B$2:$B$101,MATCH(B129,Products!$A$2:$A$101,0)),"Unknown SKU"))</f>
        <v/>
      </c>
      <c r="E129" s="34" t="n"/>
      <c r="F129" s="36" t="n"/>
      <c r="G129" s="44">
        <f>IF(OR(C129="",C129=0,F129=""),"",F129/C129)</f>
        <v/>
      </c>
      <c r="H129" s="34" t="n"/>
    </row>
    <row r="130">
      <c r="A130" s="45" t="n"/>
      <c r="B130" s="34" t="n"/>
      <c r="C130" s="34" t="n"/>
      <c r="D130" s="46">
        <f>IF(B130="","",IFERROR(INDEX(Products!$B$2:$B$101,MATCH(B130,Products!$A$2:$A$101,0)),"Unknown SKU"))</f>
        <v/>
      </c>
      <c r="E130" s="34" t="n"/>
      <c r="F130" s="36" t="n"/>
      <c r="G130" s="44">
        <f>IF(OR(C130="",C130=0,F130=""),"",F130/C130)</f>
        <v/>
      </c>
      <c r="H130" s="34" t="n"/>
    </row>
    <row r="131">
      <c r="A131" s="45" t="n"/>
      <c r="B131" s="34" t="n"/>
      <c r="C131" s="34" t="n"/>
      <c r="D131" s="46">
        <f>IF(B131="","",IFERROR(INDEX(Products!$B$2:$B$101,MATCH(B131,Products!$A$2:$A$101,0)),"Unknown SKU"))</f>
        <v/>
      </c>
      <c r="E131" s="34" t="n"/>
      <c r="F131" s="36" t="n"/>
      <c r="G131" s="44">
        <f>IF(OR(C131="",C131=0,F131=""),"",F131/C131)</f>
        <v/>
      </c>
      <c r="H131" s="34" t="n"/>
    </row>
    <row r="132">
      <c r="A132" s="45" t="n"/>
      <c r="B132" s="34" t="n"/>
      <c r="C132" s="34" t="n"/>
      <c r="D132" s="46">
        <f>IF(B132="","",IFERROR(INDEX(Products!$B$2:$B$101,MATCH(B132,Products!$A$2:$A$101,0)),"Unknown SKU"))</f>
        <v/>
      </c>
      <c r="E132" s="34" t="n"/>
      <c r="F132" s="36" t="n"/>
      <c r="G132" s="44">
        <f>IF(OR(C132="",C132=0,F132=""),"",F132/C132)</f>
        <v/>
      </c>
      <c r="H132" s="34" t="n"/>
    </row>
    <row r="133">
      <c r="A133" s="45" t="n"/>
      <c r="B133" s="34" t="n"/>
      <c r="C133" s="34" t="n"/>
      <c r="D133" s="46">
        <f>IF(B133="","",IFERROR(INDEX(Products!$B$2:$B$101,MATCH(B133,Products!$A$2:$A$101,0)),"Unknown SKU"))</f>
        <v/>
      </c>
      <c r="E133" s="34" t="n"/>
      <c r="F133" s="36" t="n"/>
      <c r="G133" s="44">
        <f>IF(OR(C133="",C133=0,F133=""),"",F133/C133)</f>
        <v/>
      </c>
      <c r="H133" s="34" t="n"/>
    </row>
    <row r="134">
      <c r="A134" s="45" t="n"/>
      <c r="B134" s="34" t="n"/>
      <c r="C134" s="34" t="n"/>
      <c r="D134" s="46">
        <f>IF(B134="","",IFERROR(INDEX(Products!$B$2:$B$101,MATCH(B134,Products!$A$2:$A$101,0)),"Unknown SKU"))</f>
        <v/>
      </c>
      <c r="E134" s="34" t="n"/>
      <c r="F134" s="36" t="n"/>
      <c r="G134" s="44">
        <f>IF(OR(C134="",C134=0,F134=""),"",F134/C134)</f>
        <v/>
      </c>
      <c r="H134" s="34" t="n"/>
    </row>
    <row r="135">
      <c r="A135" s="45" t="n"/>
      <c r="B135" s="34" t="n"/>
      <c r="C135" s="34" t="n"/>
      <c r="D135" s="46">
        <f>IF(B135="","",IFERROR(INDEX(Products!$B$2:$B$101,MATCH(B135,Products!$A$2:$A$101,0)),"Unknown SKU"))</f>
        <v/>
      </c>
      <c r="E135" s="34" t="n"/>
      <c r="F135" s="36" t="n"/>
      <c r="G135" s="44">
        <f>IF(OR(C135="",C135=0,F135=""),"",F135/C135)</f>
        <v/>
      </c>
      <c r="H135" s="34" t="n"/>
    </row>
    <row r="136">
      <c r="A136" s="45" t="n"/>
      <c r="B136" s="34" t="n"/>
      <c r="C136" s="34" t="n"/>
      <c r="D136" s="46">
        <f>IF(B136="","",IFERROR(INDEX(Products!$B$2:$B$101,MATCH(B136,Products!$A$2:$A$101,0)),"Unknown SKU"))</f>
        <v/>
      </c>
      <c r="E136" s="34" t="n"/>
      <c r="F136" s="36" t="n"/>
      <c r="G136" s="44">
        <f>IF(OR(C136="",C136=0,F136=""),"",F136/C136)</f>
        <v/>
      </c>
      <c r="H136" s="34" t="n"/>
    </row>
    <row r="137">
      <c r="A137" s="45" t="n"/>
      <c r="B137" s="34" t="n"/>
      <c r="C137" s="34" t="n"/>
      <c r="D137" s="46">
        <f>IF(B137="","",IFERROR(INDEX(Products!$B$2:$B$101,MATCH(B137,Products!$A$2:$A$101,0)),"Unknown SKU"))</f>
        <v/>
      </c>
      <c r="E137" s="34" t="n"/>
      <c r="F137" s="36" t="n"/>
      <c r="G137" s="44">
        <f>IF(OR(C137="",C137=0,F137=""),"",F137/C137)</f>
        <v/>
      </c>
      <c r="H137" s="34" t="n"/>
    </row>
    <row r="138">
      <c r="A138" s="45" t="n"/>
      <c r="B138" s="34" t="n"/>
      <c r="C138" s="34" t="n"/>
      <c r="D138" s="46">
        <f>IF(B138="","",IFERROR(INDEX(Products!$B$2:$B$101,MATCH(B138,Products!$A$2:$A$101,0)),"Unknown SKU"))</f>
        <v/>
      </c>
      <c r="E138" s="34" t="n"/>
      <c r="F138" s="36" t="n"/>
      <c r="G138" s="44">
        <f>IF(OR(C138="",C138=0,F138=""),"",F138/C138)</f>
        <v/>
      </c>
      <c r="H138" s="34" t="n"/>
    </row>
    <row r="139">
      <c r="A139" s="45" t="n"/>
      <c r="B139" s="34" t="n"/>
      <c r="C139" s="34" t="n"/>
      <c r="D139" s="46">
        <f>IF(B139="","",IFERROR(INDEX(Products!$B$2:$B$101,MATCH(B139,Products!$A$2:$A$101,0)),"Unknown SKU"))</f>
        <v/>
      </c>
      <c r="E139" s="34" t="n"/>
      <c r="F139" s="36" t="n"/>
      <c r="G139" s="44">
        <f>IF(OR(C139="",C139=0,F139=""),"",F139/C139)</f>
        <v/>
      </c>
      <c r="H139" s="34" t="n"/>
    </row>
    <row r="140">
      <c r="A140" s="45" t="n"/>
      <c r="B140" s="34" t="n"/>
      <c r="C140" s="34" t="n"/>
      <c r="D140" s="46">
        <f>IF(B140="","",IFERROR(INDEX(Products!$B$2:$B$101,MATCH(B140,Products!$A$2:$A$101,0)),"Unknown SKU"))</f>
        <v/>
      </c>
      <c r="E140" s="34" t="n"/>
      <c r="F140" s="36" t="n"/>
      <c r="G140" s="44">
        <f>IF(OR(C140="",C140=0,F140=""),"",F140/C140)</f>
        <v/>
      </c>
      <c r="H140" s="34" t="n"/>
    </row>
    <row r="141">
      <c r="A141" s="45" t="n"/>
      <c r="B141" s="34" t="n"/>
      <c r="C141" s="34" t="n"/>
      <c r="D141" s="46">
        <f>IF(B141="","",IFERROR(INDEX(Products!$B$2:$B$101,MATCH(B141,Products!$A$2:$A$101,0)),"Unknown SKU"))</f>
        <v/>
      </c>
      <c r="E141" s="34" t="n"/>
      <c r="F141" s="36" t="n"/>
      <c r="G141" s="44">
        <f>IF(OR(C141="",C141=0,F141=""),"",F141/C141)</f>
        <v/>
      </c>
      <c r="H141" s="34" t="n"/>
    </row>
    <row r="142">
      <c r="A142" s="45" t="n"/>
      <c r="B142" s="34" t="n"/>
      <c r="C142" s="34" t="n"/>
      <c r="D142" s="46">
        <f>IF(B142="","",IFERROR(INDEX(Products!$B$2:$B$101,MATCH(B142,Products!$A$2:$A$101,0)),"Unknown SKU"))</f>
        <v/>
      </c>
      <c r="E142" s="34" t="n"/>
      <c r="F142" s="36" t="n"/>
      <c r="G142" s="44">
        <f>IF(OR(C142="",C142=0,F142=""),"",F142/C142)</f>
        <v/>
      </c>
      <c r="H142" s="34" t="n"/>
    </row>
    <row r="143">
      <c r="A143" s="45" t="n"/>
      <c r="B143" s="34" t="n"/>
      <c r="C143" s="34" t="n"/>
      <c r="D143" s="46">
        <f>IF(B143="","",IFERROR(INDEX(Products!$B$2:$B$101,MATCH(B143,Products!$A$2:$A$101,0)),"Unknown SKU"))</f>
        <v/>
      </c>
      <c r="E143" s="34" t="n"/>
      <c r="F143" s="36" t="n"/>
      <c r="G143" s="44">
        <f>IF(OR(C143="",C143=0,F143=""),"",F143/C143)</f>
        <v/>
      </c>
      <c r="H143" s="34" t="n"/>
    </row>
    <row r="144">
      <c r="A144" s="45" t="n"/>
      <c r="B144" s="34" t="n"/>
      <c r="C144" s="34" t="n"/>
      <c r="D144" s="46">
        <f>IF(B144="","",IFERROR(INDEX(Products!$B$2:$B$101,MATCH(B144,Products!$A$2:$A$101,0)),"Unknown SKU"))</f>
        <v/>
      </c>
      <c r="E144" s="34" t="n"/>
      <c r="F144" s="36" t="n"/>
      <c r="G144" s="44">
        <f>IF(OR(C144="",C144=0,F144=""),"",F144/C144)</f>
        <v/>
      </c>
      <c r="H144" s="34" t="n"/>
    </row>
    <row r="145">
      <c r="A145" s="45" t="n"/>
      <c r="B145" s="34" t="n"/>
      <c r="C145" s="34" t="n"/>
      <c r="D145" s="46">
        <f>IF(B145="","",IFERROR(INDEX(Products!$B$2:$B$101,MATCH(B145,Products!$A$2:$A$101,0)),"Unknown SKU"))</f>
        <v/>
      </c>
      <c r="E145" s="34" t="n"/>
      <c r="F145" s="36" t="n"/>
      <c r="G145" s="44">
        <f>IF(OR(C145="",C145=0,F145=""),"",F145/C145)</f>
        <v/>
      </c>
      <c r="H145" s="34" t="n"/>
    </row>
    <row r="146">
      <c r="A146" s="45" t="n"/>
      <c r="B146" s="34" t="n"/>
      <c r="C146" s="34" t="n"/>
      <c r="D146" s="46">
        <f>IF(B146="","",IFERROR(INDEX(Products!$B$2:$B$101,MATCH(B146,Products!$A$2:$A$101,0)),"Unknown SKU"))</f>
        <v/>
      </c>
      <c r="E146" s="34" t="n"/>
      <c r="F146" s="36" t="n"/>
      <c r="G146" s="44">
        <f>IF(OR(C146="",C146=0,F146=""),"",F146/C146)</f>
        <v/>
      </c>
      <c r="H146" s="34" t="n"/>
    </row>
    <row r="147">
      <c r="A147" s="45" t="n"/>
      <c r="B147" s="34" t="n"/>
      <c r="C147" s="34" t="n"/>
      <c r="D147" s="46">
        <f>IF(B147="","",IFERROR(INDEX(Products!$B$2:$B$101,MATCH(B147,Products!$A$2:$A$101,0)),"Unknown SKU"))</f>
        <v/>
      </c>
      <c r="E147" s="34" t="n"/>
      <c r="F147" s="36" t="n"/>
      <c r="G147" s="44">
        <f>IF(OR(C147="",C147=0,F147=""),"",F147/C147)</f>
        <v/>
      </c>
      <c r="H147" s="34" t="n"/>
    </row>
    <row r="148">
      <c r="A148" s="45" t="n"/>
      <c r="B148" s="34" t="n"/>
      <c r="C148" s="34" t="n"/>
      <c r="D148" s="46">
        <f>IF(B148="","",IFERROR(INDEX(Products!$B$2:$B$101,MATCH(B148,Products!$A$2:$A$101,0)),"Unknown SKU"))</f>
        <v/>
      </c>
      <c r="E148" s="34" t="n"/>
      <c r="F148" s="36" t="n"/>
      <c r="G148" s="44">
        <f>IF(OR(C148="",C148=0,F148=""),"",F148/C148)</f>
        <v/>
      </c>
      <c r="H148" s="34" t="n"/>
    </row>
    <row r="149">
      <c r="A149" s="45" t="n"/>
      <c r="B149" s="34" t="n"/>
      <c r="C149" s="34" t="n"/>
      <c r="D149" s="46">
        <f>IF(B149="","",IFERROR(INDEX(Products!$B$2:$B$101,MATCH(B149,Products!$A$2:$A$101,0)),"Unknown SKU"))</f>
        <v/>
      </c>
      <c r="E149" s="34" t="n"/>
      <c r="F149" s="36" t="n"/>
      <c r="G149" s="44">
        <f>IF(OR(C149="",C149=0,F149=""),"",F149/C149)</f>
        <v/>
      </c>
      <c r="H149" s="34" t="n"/>
    </row>
    <row r="150">
      <c r="A150" s="45" t="n"/>
      <c r="B150" s="34" t="n"/>
      <c r="C150" s="34" t="n"/>
      <c r="D150" s="46">
        <f>IF(B150="","",IFERROR(INDEX(Products!$B$2:$B$101,MATCH(B150,Products!$A$2:$A$101,0)),"Unknown SKU"))</f>
        <v/>
      </c>
      <c r="E150" s="34" t="n"/>
      <c r="F150" s="36" t="n"/>
      <c r="G150" s="44">
        <f>IF(OR(C150="",C150=0,F150=""),"",F150/C150)</f>
        <v/>
      </c>
      <c r="H150" s="34" t="n"/>
    </row>
    <row r="151">
      <c r="A151" s="45" t="n"/>
      <c r="B151" s="34" t="n"/>
      <c r="C151" s="34" t="n"/>
      <c r="D151" s="46">
        <f>IF(B151="","",IFERROR(INDEX(Products!$B$2:$B$101,MATCH(B151,Products!$A$2:$A$101,0)),"Unknown SKU"))</f>
        <v/>
      </c>
      <c r="E151" s="34" t="n"/>
      <c r="F151" s="36" t="n"/>
      <c r="G151" s="44">
        <f>IF(OR(C151="",C151=0,F151=""),"",F151/C151)</f>
        <v/>
      </c>
      <c r="H151" s="34" t="n"/>
    </row>
    <row r="152">
      <c r="A152" s="45" t="n"/>
      <c r="B152" s="34" t="n"/>
      <c r="C152" s="34" t="n"/>
      <c r="D152" s="46">
        <f>IF(B152="","",IFERROR(INDEX(Products!$B$2:$B$101,MATCH(B152,Products!$A$2:$A$101,0)),"Unknown SKU"))</f>
        <v/>
      </c>
      <c r="E152" s="34" t="n"/>
      <c r="F152" s="36" t="n"/>
      <c r="G152" s="44">
        <f>IF(OR(C152="",C152=0,F152=""),"",F152/C152)</f>
        <v/>
      </c>
      <c r="H152" s="34" t="n"/>
    </row>
    <row r="153">
      <c r="A153" s="45" t="n"/>
      <c r="B153" s="34" t="n"/>
      <c r="C153" s="34" t="n"/>
      <c r="D153" s="46">
        <f>IF(B153="","",IFERROR(INDEX(Products!$B$2:$B$101,MATCH(B153,Products!$A$2:$A$101,0)),"Unknown SKU"))</f>
        <v/>
      </c>
      <c r="E153" s="34" t="n"/>
      <c r="F153" s="36" t="n"/>
      <c r="G153" s="44">
        <f>IF(OR(C153="",C153=0,F153=""),"",F153/C153)</f>
        <v/>
      </c>
      <c r="H153" s="34" t="n"/>
    </row>
    <row r="154">
      <c r="A154" s="45" t="n"/>
      <c r="B154" s="34" t="n"/>
      <c r="C154" s="34" t="n"/>
      <c r="D154" s="46">
        <f>IF(B154="","",IFERROR(INDEX(Products!$B$2:$B$101,MATCH(B154,Products!$A$2:$A$101,0)),"Unknown SKU"))</f>
        <v/>
      </c>
      <c r="E154" s="34" t="n"/>
      <c r="F154" s="36" t="n"/>
      <c r="G154" s="44">
        <f>IF(OR(C154="",C154=0,F154=""),"",F154/C154)</f>
        <v/>
      </c>
      <c r="H154" s="34" t="n"/>
    </row>
    <row r="155">
      <c r="A155" s="45" t="n"/>
      <c r="B155" s="34" t="n"/>
      <c r="C155" s="34" t="n"/>
      <c r="D155" s="46">
        <f>IF(B155="","",IFERROR(INDEX(Products!$B$2:$B$101,MATCH(B155,Products!$A$2:$A$101,0)),"Unknown SKU"))</f>
        <v/>
      </c>
      <c r="E155" s="34" t="n"/>
      <c r="F155" s="36" t="n"/>
      <c r="G155" s="44">
        <f>IF(OR(C155="",C155=0,F155=""),"",F155/C155)</f>
        <v/>
      </c>
      <c r="H155" s="34" t="n"/>
    </row>
    <row r="156">
      <c r="A156" s="45" t="n"/>
      <c r="B156" s="34" t="n"/>
      <c r="C156" s="34" t="n"/>
      <c r="D156" s="46">
        <f>IF(B156="","",IFERROR(INDEX(Products!$B$2:$B$101,MATCH(B156,Products!$A$2:$A$101,0)),"Unknown SKU"))</f>
        <v/>
      </c>
      <c r="E156" s="34" t="n"/>
      <c r="F156" s="36" t="n"/>
      <c r="G156" s="44">
        <f>IF(OR(C156="",C156=0,F156=""),"",F156/C156)</f>
        <v/>
      </c>
      <c r="H156" s="34" t="n"/>
    </row>
    <row r="157">
      <c r="A157" s="45" t="n"/>
      <c r="B157" s="34" t="n"/>
      <c r="C157" s="34" t="n"/>
      <c r="D157" s="46">
        <f>IF(B157="","",IFERROR(INDEX(Products!$B$2:$B$101,MATCH(B157,Products!$A$2:$A$101,0)),"Unknown SKU"))</f>
        <v/>
      </c>
      <c r="E157" s="34" t="n"/>
      <c r="F157" s="36" t="n"/>
      <c r="G157" s="44">
        <f>IF(OR(C157="",C157=0,F157=""),"",F157/C157)</f>
        <v/>
      </c>
      <c r="H157" s="34" t="n"/>
    </row>
    <row r="158">
      <c r="A158" s="45" t="n"/>
      <c r="B158" s="34" t="n"/>
      <c r="C158" s="34" t="n"/>
      <c r="D158" s="46">
        <f>IF(B158="","",IFERROR(INDEX(Products!$B$2:$B$101,MATCH(B158,Products!$A$2:$A$101,0)),"Unknown SKU"))</f>
        <v/>
      </c>
      <c r="E158" s="34" t="n"/>
      <c r="F158" s="36" t="n"/>
      <c r="G158" s="44">
        <f>IF(OR(C158="",C158=0,F158=""),"",F158/C158)</f>
        <v/>
      </c>
      <c r="H158" s="34" t="n"/>
    </row>
    <row r="159">
      <c r="A159" s="45" t="n"/>
      <c r="B159" s="34" t="n"/>
      <c r="C159" s="34" t="n"/>
      <c r="D159" s="46">
        <f>IF(B159="","",IFERROR(INDEX(Products!$B$2:$B$101,MATCH(B159,Products!$A$2:$A$101,0)),"Unknown SKU"))</f>
        <v/>
      </c>
      <c r="E159" s="34" t="n"/>
      <c r="F159" s="36" t="n"/>
      <c r="G159" s="44">
        <f>IF(OR(C159="",C159=0,F159=""),"",F159/C159)</f>
        <v/>
      </c>
      <c r="H159" s="34" t="n"/>
    </row>
    <row r="160">
      <c r="A160" s="45" t="n"/>
      <c r="B160" s="34" t="n"/>
      <c r="C160" s="34" t="n"/>
      <c r="D160" s="46">
        <f>IF(B160="","",IFERROR(INDEX(Products!$B$2:$B$101,MATCH(B160,Products!$A$2:$A$101,0)),"Unknown SKU"))</f>
        <v/>
      </c>
      <c r="E160" s="34" t="n"/>
      <c r="F160" s="36" t="n"/>
      <c r="G160" s="44">
        <f>IF(OR(C160="",C160=0,F160=""),"",F160/C160)</f>
        <v/>
      </c>
      <c r="H160" s="34" t="n"/>
    </row>
    <row r="161">
      <c r="A161" s="45" t="n"/>
      <c r="B161" s="34" t="n"/>
      <c r="C161" s="34" t="n"/>
      <c r="D161" s="46">
        <f>IF(B161="","",IFERROR(INDEX(Products!$B$2:$B$101,MATCH(B161,Products!$A$2:$A$101,0)),"Unknown SKU"))</f>
        <v/>
      </c>
      <c r="E161" s="34" t="n"/>
      <c r="F161" s="36" t="n"/>
      <c r="G161" s="44">
        <f>IF(OR(C161="",C161=0,F161=""),"",F161/C161)</f>
        <v/>
      </c>
      <c r="H161" s="34" t="n"/>
    </row>
    <row r="162">
      <c r="A162" s="45" t="n"/>
      <c r="B162" s="34" t="n"/>
      <c r="C162" s="34" t="n"/>
      <c r="D162" s="46">
        <f>IF(B162="","",IFERROR(INDEX(Products!$B$2:$B$101,MATCH(B162,Products!$A$2:$A$101,0)),"Unknown SKU"))</f>
        <v/>
      </c>
      <c r="E162" s="34" t="n"/>
      <c r="F162" s="36" t="n"/>
      <c r="G162" s="44">
        <f>IF(OR(C162="",C162=0,F162=""),"",F162/C162)</f>
        <v/>
      </c>
      <c r="H162" s="34" t="n"/>
    </row>
    <row r="163">
      <c r="A163" s="45" t="n"/>
      <c r="B163" s="34" t="n"/>
      <c r="C163" s="34" t="n"/>
      <c r="D163" s="46">
        <f>IF(B163="","",IFERROR(INDEX(Products!$B$2:$B$101,MATCH(B163,Products!$A$2:$A$101,0)),"Unknown SKU"))</f>
        <v/>
      </c>
      <c r="E163" s="34" t="n"/>
      <c r="F163" s="36" t="n"/>
      <c r="G163" s="44">
        <f>IF(OR(C163="",C163=0,F163=""),"",F163/C163)</f>
        <v/>
      </c>
      <c r="H163" s="34" t="n"/>
    </row>
    <row r="164">
      <c r="A164" s="45" t="n"/>
      <c r="B164" s="34" t="n"/>
      <c r="C164" s="34" t="n"/>
      <c r="D164" s="46">
        <f>IF(B164="","",IFERROR(INDEX(Products!$B$2:$B$101,MATCH(B164,Products!$A$2:$A$101,0)),"Unknown SKU"))</f>
        <v/>
      </c>
      <c r="E164" s="34" t="n"/>
      <c r="F164" s="36" t="n"/>
      <c r="G164" s="44">
        <f>IF(OR(C164="",C164=0,F164=""),"",F164/C164)</f>
        <v/>
      </c>
      <c r="H164" s="34" t="n"/>
    </row>
    <row r="165">
      <c r="A165" s="45" t="n"/>
      <c r="B165" s="34" t="n"/>
      <c r="C165" s="34" t="n"/>
      <c r="D165" s="46">
        <f>IF(B165="","",IFERROR(INDEX(Products!$B$2:$B$101,MATCH(B165,Products!$A$2:$A$101,0)),"Unknown SKU"))</f>
        <v/>
      </c>
      <c r="E165" s="34" t="n"/>
      <c r="F165" s="36" t="n"/>
      <c r="G165" s="44">
        <f>IF(OR(C165="",C165=0,F165=""),"",F165/C165)</f>
        <v/>
      </c>
      <c r="H165" s="34" t="n"/>
    </row>
    <row r="166">
      <c r="A166" s="45" t="n"/>
      <c r="B166" s="34" t="n"/>
      <c r="C166" s="34" t="n"/>
      <c r="D166" s="46">
        <f>IF(B166="","",IFERROR(INDEX(Products!$B$2:$B$101,MATCH(B166,Products!$A$2:$A$101,0)),"Unknown SKU"))</f>
        <v/>
      </c>
      <c r="E166" s="34" t="n"/>
      <c r="F166" s="36" t="n"/>
      <c r="G166" s="44">
        <f>IF(OR(C166="",C166=0,F166=""),"",F166/C166)</f>
        <v/>
      </c>
      <c r="H166" s="34" t="n"/>
    </row>
    <row r="167">
      <c r="A167" s="45" t="n"/>
      <c r="B167" s="34" t="n"/>
      <c r="C167" s="34" t="n"/>
      <c r="D167" s="46">
        <f>IF(B167="","",IFERROR(INDEX(Products!$B$2:$B$101,MATCH(B167,Products!$A$2:$A$101,0)),"Unknown SKU"))</f>
        <v/>
      </c>
      <c r="E167" s="34" t="n"/>
      <c r="F167" s="36" t="n"/>
      <c r="G167" s="44">
        <f>IF(OR(C167="",C167=0,F167=""),"",F167/C167)</f>
        <v/>
      </c>
      <c r="H167" s="34" t="n"/>
    </row>
    <row r="168">
      <c r="A168" s="45" t="n"/>
      <c r="B168" s="34" t="n"/>
      <c r="C168" s="34" t="n"/>
      <c r="D168" s="46">
        <f>IF(B168="","",IFERROR(INDEX(Products!$B$2:$B$101,MATCH(B168,Products!$A$2:$A$101,0)),"Unknown SKU"))</f>
        <v/>
      </c>
      <c r="E168" s="34" t="n"/>
      <c r="F168" s="36" t="n"/>
      <c r="G168" s="44">
        <f>IF(OR(C168="",C168=0,F168=""),"",F168/C168)</f>
        <v/>
      </c>
      <c r="H168" s="34" t="n"/>
    </row>
    <row r="169">
      <c r="A169" s="45" t="n"/>
      <c r="B169" s="34" t="n"/>
      <c r="C169" s="34" t="n"/>
      <c r="D169" s="46">
        <f>IF(B169="","",IFERROR(INDEX(Products!$B$2:$B$101,MATCH(B169,Products!$A$2:$A$101,0)),"Unknown SKU"))</f>
        <v/>
      </c>
      <c r="E169" s="34" t="n"/>
      <c r="F169" s="36" t="n"/>
      <c r="G169" s="44">
        <f>IF(OR(C169="",C169=0,F169=""),"",F169/C169)</f>
        <v/>
      </c>
      <c r="H169" s="34" t="n"/>
    </row>
    <row r="170">
      <c r="A170" s="45" t="n"/>
      <c r="B170" s="34" t="n"/>
      <c r="C170" s="34" t="n"/>
      <c r="D170" s="46">
        <f>IF(B170="","",IFERROR(INDEX(Products!$B$2:$B$101,MATCH(B170,Products!$A$2:$A$101,0)),"Unknown SKU"))</f>
        <v/>
      </c>
      <c r="E170" s="34" t="n"/>
      <c r="F170" s="36" t="n"/>
      <c r="G170" s="44">
        <f>IF(OR(C170="",C170=0,F170=""),"",F170/C170)</f>
        <v/>
      </c>
      <c r="H170" s="34" t="n"/>
    </row>
    <row r="171">
      <c r="A171" s="45" t="n"/>
      <c r="B171" s="34" t="n"/>
      <c r="C171" s="34" t="n"/>
      <c r="D171" s="46">
        <f>IF(B171="","",IFERROR(INDEX(Products!$B$2:$B$101,MATCH(B171,Products!$A$2:$A$101,0)),"Unknown SKU"))</f>
        <v/>
      </c>
      <c r="E171" s="34" t="n"/>
      <c r="F171" s="36" t="n"/>
      <c r="G171" s="44">
        <f>IF(OR(C171="",C171=0,F171=""),"",F171/C171)</f>
        <v/>
      </c>
      <c r="H171" s="34" t="n"/>
    </row>
    <row r="172">
      <c r="A172" s="45" t="n"/>
      <c r="B172" s="34" t="n"/>
      <c r="C172" s="34" t="n"/>
      <c r="D172" s="46">
        <f>IF(B172="","",IFERROR(INDEX(Products!$B$2:$B$101,MATCH(B172,Products!$A$2:$A$101,0)),"Unknown SKU"))</f>
        <v/>
      </c>
      <c r="E172" s="34" t="n"/>
      <c r="F172" s="36" t="n"/>
      <c r="G172" s="44">
        <f>IF(OR(C172="",C172=0,F172=""),"",F172/C172)</f>
        <v/>
      </c>
      <c r="H172" s="34" t="n"/>
    </row>
    <row r="173">
      <c r="A173" s="45" t="n"/>
      <c r="B173" s="34" t="n"/>
      <c r="C173" s="34" t="n"/>
      <c r="D173" s="46">
        <f>IF(B173="","",IFERROR(INDEX(Products!$B$2:$B$101,MATCH(B173,Products!$A$2:$A$101,0)),"Unknown SKU"))</f>
        <v/>
      </c>
      <c r="E173" s="34" t="n"/>
      <c r="F173" s="36" t="n"/>
      <c r="G173" s="44">
        <f>IF(OR(C173="",C173=0,F173=""),"",F173/C173)</f>
        <v/>
      </c>
      <c r="H173" s="34" t="n"/>
    </row>
    <row r="174">
      <c r="A174" s="45" t="n"/>
      <c r="B174" s="34" t="n"/>
      <c r="C174" s="34" t="n"/>
      <c r="D174" s="46">
        <f>IF(B174="","",IFERROR(INDEX(Products!$B$2:$B$101,MATCH(B174,Products!$A$2:$A$101,0)),"Unknown SKU"))</f>
        <v/>
      </c>
      <c r="E174" s="34" t="n"/>
      <c r="F174" s="36" t="n"/>
      <c r="G174" s="44">
        <f>IF(OR(C174="",C174=0,F174=""),"",F174/C174)</f>
        <v/>
      </c>
      <c r="H174" s="34" t="n"/>
    </row>
    <row r="175">
      <c r="A175" s="45" t="n"/>
      <c r="B175" s="34" t="n"/>
      <c r="C175" s="34" t="n"/>
      <c r="D175" s="46">
        <f>IF(B175="","",IFERROR(INDEX(Products!$B$2:$B$101,MATCH(B175,Products!$A$2:$A$101,0)),"Unknown SKU"))</f>
        <v/>
      </c>
      <c r="E175" s="34" t="n"/>
      <c r="F175" s="36" t="n"/>
      <c r="G175" s="44">
        <f>IF(OR(C175="",C175=0,F175=""),"",F175/C175)</f>
        <v/>
      </c>
      <c r="H175" s="34" t="n"/>
    </row>
    <row r="176">
      <c r="A176" s="45" t="n"/>
      <c r="B176" s="34" t="n"/>
      <c r="C176" s="34" t="n"/>
      <c r="D176" s="46">
        <f>IF(B176="","",IFERROR(INDEX(Products!$B$2:$B$101,MATCH(B176,Products!$A$2:$A$101,0)),"Unknown SKU"))</f>
        <v/>
      </c>
      <c r="E176" s="34" t="n"/>
      <c r="F176" s="36" t="n"/>
      <c r="G176" s="44">
        <f>IF(OR(C176="",C176=0,F176=""),"",F176/C176)</f>
        <v/>
      </c>
      <c r="H176" s="34" t="n"/>
    </row>
    <row r="177">
      <c r="A177" s="45" t="n"/>
      <c r="B177" s="34" t="n"/>
      <c r="C177" s="34" t="n"/>
      <c r="D177" s="46">
        <f>IF(B177="","",IFERROR(INDEX(Products!$B$2:$B$101,MATCH(B177,Products!$A$2:$A$101,0)),"Unknown SKU"))</f>
        <v/>
      </c>
      <c r="E177" s="34" t="n"/>
      <c r="F177" s="36" t="n"/>
      <c r="G177" s="44">
        <f>IF(OR(C177="",C177=0,F177=""),"",F177/C177)</f>
        <v/>
      </c>
      <c r="H177" s="34" t="n"/>
    </row>
    <row r="178">
      <c r="A178" s="45" t="n"/>
      <c r="B178" s="34" t="n"/>
      <c r="C178" s="34" t="n"/>
      <c r="D178" s="46">
        <f>IF(B178="","",IFERROR(INDEX(Products!$B$2:$B$101,MATCH(B178,Products!$A$2:$A$101,0)),"Unknown SKU"))</f>
        <v/>
      </c>
      <c r="E178" s="34" t="n"/>
      <c r="F178" s="36" t="n"/>
      <c r="G178" s="44">
        <f>IF(OR(C178="",C178=0,F178=""),"",F178/C178)</f>
        <v/>
      </c>
      <c r="H178" s="34" t="n"/>
    </row>
    <row r="179">
      <c r="A179" s="45" t="n"/>
      <c r="B179" s="34" t="n"/>
      <c r="C179" s="34" t="n"/>
      <c r="D179" s="46">
        <f>IF(B179="","",IFERROR(INDEX(Products!$B$2:$B$101,MATCH(B179,Products!$A$2:$A$101,0)),"Unknown SKU"))</f>
        <v/>
      </c>
      <c r="E179" s="34" t="n"/>
      <c r="F179" s="36" t="n"/>
      <c r="G179" s="44">
        <f>IF(OR(C179="",C179=0,F179=""),"",F179/C179)</f>
        <v/>
      </c>
      <c r="H179" s="34" t="n"/>
    </row>
    <row r="180">
      <c r="A180" s="45" t="n"/>
      <c r="B180" s="34" t="n"/>
      <c r="C180" s="34" t="n"/>
      <c r="D180" s="46">
        <f>IF(B180="","",IFERROR(INDEX(Products!$B$2:$B$101,MATCH(B180,Products!$A$2:$A$101,0)),"Unknown SKU"))</f>
        <v/>
      </c>
      <c r="E180" s="34" t="n"/>
      <c r="F180" s="36" t="n"/>
      <c r="G180" s="44">
        <f>IF(OR(C180="",C180=0,F180=""),"",F180/C180)</f>
        <v/>
      </c>
      <c r="H180" s="34" t="n"/>
    </row>
    <row r="181">
      <c r="A181" s="45" t="n"/>
      <c r="B181" s="34" t="n"/>
      <c r="C181" s="34" t="n"/>
      <c r="D181" s="46">
        <f>IF(B181="","",IFERROR(INDEX(Products!$B$2:$B$101,MATCH(B181,Products!$A$2:$A$101,0)),"Unknown SKU"))</f>
        <v/>
      </c>
      <c r="E181" s="34" t="n"/>
      <c r="F181" s="36" t="n"/>
      <c r="G181" s="44">
        <f>IF(OR(C181="",C181=0,F181=""),"",F181/C181)</f>
        <v/>
      </c>
      <c r="H181" s="34" t="n"/>
    </row>
    <row r="182">
      <c r="A182" s="45" t="n"/>
      <c r="B182" s="34" t="n"/>
      <c r="C182" s="34" t="n"/>
      <c r="D182" s="46">
        <f>IF(B182="","",IFERROR(INDEX(Products!$B$2:$B$101,MATCH(B182,Products!$A$2:$A$101,0)),"Unknown SKU"))</f>
        <v/>
      </c>
      <c r="E182" s="34" t="n"/>
      <c r="F182" s="36" t="n"/>
      <c r="G182" s="44">
        <f>IF(OR(C182="",C182=0,F182=""),"",F182/C182)</f>
        <v/>
      </c>
      <c r="H182" s="34" t="n"/>
    </row>
    <row r="183">
      <c r="A183" s="45" t="n"/>
      <c r="B183" s="34" t="n"/>
      <c r="C183" s="34" t="n"/>
      <c r="D183" s="46">
        <f>IF(B183="","",IFERROR(INDEX(Products!$B$2:$B$101,MATCH(B183,Products!$A$2:$A$101,0)),"Unknown SKU"))</f>
        <v/>
      </c>
      <c r="E183" s="34" t="n"/>
      <c r="F183" s="36" t="n"/>
      <c r="G183" s="44">
        <f>IF(OR(C183="",C183=0,F183=""),"",F183/C183)</f>
        <v/>
      </c>
      <c r="H183" s="34" t="n"/>
    </row>
    <row r="184">
      <c r="A184" s="45" t="n"/>
      <c r="B184" s="34" t="n"/>
      <c r="C184" s="34" t="n"/>
      <c r="D184" s="46">
        <f>IF(B184="","",IFERROR(INDEX(Products!$B$2:$B$101,MATCH(B184,Products!$A$2:$A$101,0)),"Unknown SKU"))</f>
        <v/>
      </c>
      <c r="E184" s="34" t="n"/>
      <c r="F184" s="36" t="n"/>
      <c r="G184" s="44">
        <f>IF(OR(C184="",C184=0,F184=""),"",F184/C184)</f>
        <v/>
      </c>
      <c r="H184" s="34" t="n"/>
    </row>
    <row r="185">
      <c r="A185" s="45" t="n"/>
      <c r="B185" s="34" t="n"/>
      <c r="C185" s="34" t="n"/>
      <c r="D185" s="46">
        <f>IF(B185="","",IFERROR(INDEX(Products!$B$2:$B$101,MATCH(B185,Products!$A$2:$A$101,0)),"Unknown SKU"))</f>
        <v/>
      </c>
      <c r="E185" s="34" t="n"/>
      <c r="F185" s="36" t="n"/>
      <c r="G185" s="44">
        <f>IF(OR(C185="",C185=0,F185=""),"",F185/C185)</f>
        <v/>
      </c>
      <c r="H185" s="34" t="n"/>
    </row>
    <row r="186">
      <c r="A186" s="45" t="n"/>
      <c r="B186" s="34" t="n"/>
      <c r="C186" s="34" t="n"/>
      <c r="D186" s="46">
        <f>IF(B186="","",IFERROR(INDEX(Products!$B$2:$B$101,MATCH(B186,Products!$A$2:$A$101,0)),"Unknown SKU"))</f>
        <v/>
      </c>
      <c r="E186" s="34" t="n"/>
      <c r="F186" s="36" t="n"/>
      <c r="G186" s="44">
        <f>IF(OR(C186="",C186=0,F186=""),"",F186/C186)</f>
        <v/>
      </c>
      <c r="H186" s="34" t="n"/>
    </row>
    <row r="187">
      <c r="A187" s="45" t="n"/>
      <c r="B187" s="34" t="n"/>
      <c r="C187" s="34" t="n"/>
      <c r="D187" s="46">
        <f>IF(B187="","",IFERROR(INDEX(Products!$B$2:$B$101,MATCH(B187,Products!$A$2:$A$101,0)),"Unknown SKU"))</f>
        <v/>
      </c>
      <c r="E187" s="34" t="n"/>
      <c r="F187" s="36" t="n"/>
      <c r="G187" s="44">
        <f>IF(OR(C187="",C187=0,F187=""),"",F187/C187)</f>
        <v/>
      </c>
      <c r="H187" s="34" t="n"/>
    </row>
    <row r="188">
      <c r="A188" s="45" t="n"/>
      <c r="B188" s="34" t="n"/>
      <c r="C188" s="34" t="n"/>
      <c r="D188" s="46">
        <f>IF(B188="","",IFERROR(INDEX(Products!$B$2:$B$101,MATCH(B188,Products!$A$2:$A$101,0)),"Unknown SKU"))</f>
        <v/>
      </c>
      <c r="E188" s="34" t="n"/>
      <c r="F188" s="36" t="n"/>
      <c r="G188" s="44">
        <f>IF(OR(C188="",C188=0,F188=""),"",F188/C188)</f>
        <v/>
      </c>
      <c r="H188" s="34" t="n"/>
    </row>
    <row r="189">
      <c r="A189" s="45" t="n"/>
      <c r="B189" s="34" t="n"/>
      <c r="C189" s="34" t="n"/>
      <c r="D189" s="46">
        <f>IF(B189="","",IFERROR(INDEX(Products!$B$2:$B$101,MATCH(B189,Products!$A$2:$A$101,0)),"Unknown SKU"))</f>
        <v/>
      </c>
      <c r="E189" s="34" t="n"/>
      <c r="F189" s="36" t="n"/>
      <c r="G189" s="44">
        <f>IF(OR(C189="",C189=0,F189=""),"",F189/C189)</f>
        <v/>
      </c>
      <c r="H189" s="34" t="n"/>
    </row>
    <row r="190">
      <c r="A190" s="45" t="n"/>
      <c r="B190" s="34" t="n"/>
      <c r="C190" s="34" t="n"/>
      <c r="D190" s="46">
        <f>IF(B190="","",IFERROR(INDEX(Products!$B$2:$B$101,MATCH(B190,Products!$A$2:$A$101,0)),"Unknown SKU"))</f>
        <v/>
      </c>
      <c r="E190" s="34" t="n"/>
      <c r="F190" s="36" t="n"/>
      <c r="G190" s="44">
        <f>IF(OR(C190="",C190=0,F190=""),"",F190/C190)</f>
        <v/>
      </c>
      <c r="H190" s="34" t="n"/>
    </row>
    <row r="191">
      <c r="A191" s="45" t="n"/>
      <c r="B191" s="34" t="n"/>
      <c r="C191" s="34" t="n"/>
      <c r="D191" s="46">
        <f>IF(B191="","",IFERROR(INDEX(Products!$B$2:$B$101,MATCH(B191,Products!$A$2:$A$101,0)),"Unknown SKU"))</f>
        <v/>
      </c>
      <c r="E191" s="34" t="n"/>
      <c r="F191" s="36" t="n"/>
      <c r="G191" s="44">
        <f>IF(OR(C191="",C191=0,F191=""),"",F191/C191)</f>
        <v/>
      </c>
      <c r="H191" s="34" t="n"/>
    </row>
    <row r="192">
      <c r="A192" s="45" t="n"/>
      <c r="B192" s="34" t="n"/>
      <c r="C192" s="34" t="n"/>
      <c r="D192" s="46">
        <f>IF(B192="","",IFERROR(INDEX(Products!$B$2:$B$101,MATCH(B192,Products!$A$2:$A$101,0)),"Unknown SKU"))</f>
        <v/>
      </c>
      <c r="E192" s="34" t="n"/>
      <c r="F192" s="36" t="n"/>
      <c r="G192" s="44">
        <f>IF(OR(C192="",C192=0,F192=""),"",F192/C192)</f>
        <v/>
      </c>
      <c r="H192" s="34" t="n"/>
    </row>
    <row r="193">
      <c r="A193" s="45" t="n"/>
      <c r="B193" s="34" t="n"/>
      <c r="C193" s="34" t="n"/>
      <c r="D193" s="46">
        <f>IF(B193="","",IFERROR(INDEX(Products!$B$2:$B$101,MATCH(B193,Products!$A$2:$A$101,0)),"Unknown SKU"))</f>
        <v/>
      </c>
      <c r="E193" s="34" t="n"/>
      <c r="F193" s="36" t="n"/>
      <c r="G193" s="44">
        <f>IF(OR(C193="",C193=0,F193=""),"",F193/C193)</f>
        <v/>
      </c>
      <c r="H193" s="34" t="n"/>
    </row>
    <row r="194">
      <c r="A194" s="45" t="n"/>
      <c r="B194" s="34" t="n"/>
      <c r="C194" s="34" t="n"/>
      <c r="D194" s="46">
        <f>IF(B194="","",IFERROR(INDEX(Products!$B$2:$B$101,MATCH(B194,Products!$A$2:$A$101,0)),"Unknown SKU"))</f>
        <v/>
      </c>
      <c r="E194" s="34" t="n"/>
      <c r="F194" s="36" t="n"/>
      <c r="G194" s="44">
        <f>IF(OR(C194="",C194=0,F194=""),"",F194/C194)</f>
        <v/>
      </c>
      <c r="H194" s="34" t="n"/>
    </row>
    <row r="195">
      <c r="A195" s="45" t="n"/>
      <c r="B195" s="34" t="n"/>
      <c r="C195" s="34" t="n"/>
      <c r="D195" s="46">
        <f>IF(B195="","",IFERROR(INDEX(Products!$B$2:$B$101,MATCH(B195,Products!$A$2:$A$101,0)),"Unknown SKU"))</f>
        <v/>
      </c>
      <c r="E195" s="34" t="n"/>
      <c r="F195" s="36" t="n"/>
      <c r="G195" s="44">
        <f>IF(OR(C195="",C195=0,F195=""),"",F195/C195)</f>
        <v/>
      </c>
      <c r="H195" s="34" t="n"/>
    </row>
    <row r="196">
      <c r="A196" s="45" t="n"/>
      <c r="B196" s="34" t="n"/>
      <c r="C196" s="34" t="n"/>
      <c r="D196" s="46">
        <f>IF(B196="","",IFERROR(INDEX(Products!$B$2:$B$101,MATCH(B196,Products!$A$2:$A$101,0)),"Unknown SKU"))</f>
        <v/>
      </c>
      <c r="E196" s="34" t="n"/>
      <c r="F196" s="36" t="n"/>
      <c r="G196" s="44">
        <f>IF(OR(C196="",C196=0,F196=""),"",F196/C196)</f>
        <v/>
      </c>
      <c r="H196" s="34" t="n"/>
    </row>
    <row r="197">
      <c r="A197" s="45" t="n"/>
      <c r="B197" s="34" t="n"/>
      <c r="C197" s="34" t="n"/>
      <c r="D197" s="46">
        <f>IF(B197="","",IFERROR(INDEX(Products!$B$2:$B$101,MATCH(B197,Products!$A$2:$A$101,0)),"Unknown SKU"))</f>
        <v/>
      </c>
      <c r="E197" s="34" t="n"/>
      <c r="F197" s="36" t="n"/>
      <c r="G197" s="44">
        <f>IF(OR(C197="",C197=0,F197=""),"",F197/C197)</f>
        <v/>
      </c>
      <c r="H197" s="34" t="n"/>
    </row>
    <row r="198">
      <c r="A198" s="45" t="n"/>
      <c r="B198" s="34" t="n"/>
      <c r="C198" s="34" t="n"/>
      <c r="D198" s="46">
        <f>IF(B198="","",IFERROR(INDEX(Products!$B$2:$B$101,MATCH(B198,Products!$A$2:$A$101,0)),"Unknown SKU"))</f>
        <v/>
      </c>
      <c r="E198" s="34" t="n"/>
      <c r="F198" s="36" t="n"/>
      <c r="G198" s="44">
        <f>IF(OR(C198="",C198=0,F198=""),"",F198/C198)</f>
        <v/>
      </c>
      <c r="H198" s="34" t="n"/>
    </row>
    <row r="199">
      <c r="A199" s="45" t="n"/>
      <c r="B199" s="34" t="n"/>
      <c r="C199" s="34" t="n"/>
      <c r="D199" s="46">
        <f>IF(B199="","",IFERROR(INDEX(Products!$B$2:$B$101,MATCH(B199,Products!$A$2:$A$101,0)),"Unknown SKU"))</f>
        <v/>
      </c>
      <c r="E199" s="34" t="n"/>
      <c r="F199" s="36" t="n"/>
      <c r="G199" s="44">
        <f>IF(OR(C199="",C199=0,F199=""),"",F199/C199)</f>
        <v/>
      </c>
      <c r="H199" s="34" t="n"/>
    </row>
    <row r="200">
      <c r="A200" s="45" t="n"/>
      <c r="B200" s="34" t="n"/>
      <c r="C200" s="34" t="n"/>
      <c r="D200" s="46">
        <f>IF(B200="","",IFERROR(INDEX(Products!$B$2:$B$101,MATCH(B200,Products!$A$2:$A$101,0)),"Unknown SKU"))</f>
        <v/>
      </c>
      <c r="E200" s="34" t="n"/>
      <c r="F200" s="36" t="n"/>
      <c r="G200" s="44">
        <f>IF(OR(C200="",C200=0,F200=""),"",F200/C200)</f>
        <v/>
      </c>
      <c r="H200" s="34" t="n"/>
    </row>
    <row r="201">
      <c r="A201" s="45" t="n"/>
      <c r="B201" s="34" t="n"/>
      <c r="C201" s="34" t="n"/>
      <c r="D201" s="46">
        <f>IF(B201="","",IFERROR(INDEX(Products!$B$2:$B$101,MATCH(B201,Products!$A$2:$A$101,0)),"Unknown SKU"))</f>
        <v/>
      </c>
      <c r="E201" s="34" t="n"/>
      <c r="F201" s="36" t="n"/>
      <c r="G201" s="44">
        <f>IF(OR(C201="",C201=0,F201=""),"",F201/C201)</f>
        <v/>
      </c>
      <c r="H201" s="34" t="n"/>
    </row>
    <row r="202">
      <c r="A202" s="45" t="n"/>
      <c r="B202" s="34" t="n"/>
      <c r="C202" s="34" t="n"/>
      <c r="D202" s="46">
        <f>IF(B202="","",IFERROR(INDEX(Products!$B$2:$B$101,MATCH(B202,Products!$A$2:$A$101,0)),"Unknown SKU"))</f>
        <v/>
      </c>
      <c r="E202" s="34" t="n"/>
      <c r="F202" s="36" t="n"/>
      <c r="G202" s="44">
        <f>IF(OR(C202="",C202=0,F202=""),"",F202/C202)</f>
        <v/>
      </c>
      <c r="H202" s="34" t="n"/>
    </row>
    <row r="203">
      <c r="A203" s="45" t="n"/>
      <c r="B203" s="34" t="n"/>
      <c r="C203" s="34" t="n"/>
      <c r="D203" s="46">
        <f>IF(B203="","",IFERROR(INDEX(Products!$B$2:$B$101,MATCH(B203,Products!$A$2:$A$101,0)),"Unknown SKU"))</f>
        <v/>
      </c>
      <c r="E203" s="34" t="n"/>
      <c r="F203" s="36" t="n"/>
      <c r="G203" s="44">
        <f>IF(OR(C203="",C203=0,F203=""),"",F203/C203)</f>
        <v/>
      </c>
      <c r="H203" s="34" t="n"/>
    </row>
    <row r="204">
      <c r="A204" s="45" t="n"/>
      <c r="B204" s="34" t="n"/>
      <c r="C204" s="34" t="n"/>
      <c r="D204" s="46">
        <f>IF(B204="","",IFERROR(INDEX(Products!$B$2:$B$101,MATCH(B204,Products!$A$2:$A$101,0)),"Unknown SKU"))</f>
        <v/>
      </c>
      <c r="E204" s="34" t="n"/>
      <c r="F204" s="36" t="n"/>
      <c r="G204" s="44">
        <f>IF(OR(C204="",C204=0,F204=""),"",F204/C204)</f>
        <v/>
      </c>
      <c r="H204" s="34" t="n"/>
    </row>
    <row r="205">
      <c r="A205" s="45" t="n"/>
      <c r="B205" s="34" t="n"/>
      <c r="C205" s="34" t="n"/>
      <c r="D205" s="46">
        <f>IF(B205="","",IFERROR(INDEX(Products!$B$2:$B$101,MATCH(B205,Products!$A$2:$A$101,0)),"Unknown SKU"))</f>
        <v/>
      </c>
      <c r="E205" s="34" t="n"/>
      <c r="F205" s="36" t="n"/>
      <c r="G205" s="44">
        <f>IF(OR(C205="",C205=0,F205=""),"",F205/C205)</f>
        <v/>
      </c>
      <c r="H205" s="34" t="n"/>
    </row>
    <row r="206">
      <c r="A206" s="45" t="n"/>
      <c r="B206" s="34" t="n"/>
      <c r="C206" s="34" t="n"/>
      <c r="D206" s="46">
        <f>IF(B206="","",IFERROR(INDEX(Products!$B$2:$B$101,MATCH(B206,Products!$A$2:$A$101,0)),"Unknown SKU"))</f>
        <v/>
      </c>
      <c r="E206" s="34" t="n"/>
      <c r="F206" s="36" t="n"/>
      <c r="G206" s="44">
        <f>IF(OR(C206="",C206=0,F206=""),"",F206/C206)</f>
        <v/>
      </c>
      <c r="H206" s="34" t="n"/>
    </row>
    <row r="207">
      <c r="A207" s="45" t="n"/>
      <c r="B207" s="34" t="n"/>
      <c r="C207" s="34" t="n"/>
      <c r="D207" s="46">
        <f>IF(B207="","",IFERROR(INDEX(Products!$B$2:$B$101,MATCH(B207,Products!$A$2:$A$101,0)),"Unknown SKU"))</f>
        <v/>
      </c>
      <c r="E207" s="34" t="n"/>
      <c r="F207" s="36" t="n"/>
      <c r="G207" s="44">
        <f>IF(OR(C207="",C207=0,F207=""),"",F207/C207)</f>
        <v/>
      </c>
      <c r="H207" s="34" t="n"/>
    </row>
    <row r="208">
      <c r="A208" s="45" t="n"/>
      <c r="B208" s="34" t="n"/>
      <c r="C208" s="34" t="n"/>
      <c r="D208" s="46">
        <f>IF(B208="","",IFERROR(INDEX(Products!$B$2:$B$101,MATCH(B208,Products!$A$2:$A$101,0)),"Unknown SKU"))</f>
        <v/>
      </c>
      <c r="E208" s="34" t="n"/>
      <c r="F208" s="36" t="n"/>
      <c r="G208" s="44">
        <f>IF(OR(C208="",C208=0,F208=""),"",F208/C208)</f>
        <v/>
      </c>
      <c r="H208" s="34" t="n"/>
    </row>
    <row r="209">
      <c r="A209" s="45" t="n"/>
      <c r="B209" s="34" t="n"/>
      <c r="C209" s="34" t="n"/>
      <c r="D209" s="46">
        <f>IF(B209="","",IFERROR(INDEX(Products!$B$2:$B$101,MATCH(B209,Products!$A$2:$A$101,0)),"Unknown SKU"))</f>
        <v/>
      </c>
      <c r="E209" s="34" t="n"/>
      <c r="F209" s="36" t="n"/>
      <c r="G209" s="44">
        <f>IF(OR(C209="",C209=0,F209=""),"",F209/C209)</f>
        <v/>
      </c>
      <c r="H209" s="34" t="n"/>
    </row>
    <row r="210">
      <c r="A210" s="45" t="n"/>
      <c r="B210" s="34" t="n"/>
      <c r="C210" s="34" t="n"/>
      <c r="D210" s="46">
        <f>IF(B210="","",IFERROR(INDEX(Products!$B$2:$B$101,MATCH(B210,Products!$A$2:$A$101,0)),"Unknown SKU"))</f>
        <v/>
      </c>
      <c r="E210" s="34" t="n"/>
      <c r="F210" s="36" t="n"/>
      <c r="G210" s="44">
        <f>IF(OR(C210="",C210=0,F210=""),"",F210/C210)</f>
        <v/>
      </c>
      <c r="H210" s="34" t="n"/>
    </row>
    <row r="211">
      <c r="A211" s="45" t="n"/>
      <c r="B211" s="34" t="n"/>
      <c r="C211" s="34" t="n"/>
      <c r="D211" s="46">
        <f>IF(B211="","",IFERROR(INDEX(Products!$B$2:$B$101,MATCH(B211,Products!$A$2:$A$101,0)),"Unknown SKU"))</f>
        <v/>
      </c>
      <c r="E211" s="34" t="n"/>
      <c r="F211" s="36" t="n"/>
      <c r="G211" s="44">
        <f>IF(OR(C211="",C211=0,F211=""),"",F211/C211)</f>
        <v/>
      </c>
      <c r="H211" s="34" t="n"/>
    </row>
    <row r="212">
      <c r="A212" s="45" t="n"/>
      <c r="B212" s="34" t="n"/>
      <c r="C212" s="34" t="n"/>
      <c r="D212" s="46">
        <f>IF(B212="","",IFERROR(INDEX(Products!$B$2:$B$101,MATCH(B212,Products!$A$2:$A$101,0)),"Unknown SKU"))</f>
        <v/>
      </c>
      <c r="E212" s="34" t="n"/>
      <c r="F212" s="36" t="n"/>
      <c r="G212" s="44">
        <f>IF(OR(C212="",C212=0,F212=""),"",F212/C212)</f>
        <v/>
      </c>
      <c r="H212" s="34" t="n"/>
    </row>
    <row r="213">
      <c r="A213" s="45" t="n"/>
      <c r="B213" s="34" t="n"/>
      <c r="C213" s="34" t="n"/>
      <c r="D213" s="46">
        <f>IF(B213="","",IFERROR(INDEX(Products!$B$2:$B$101,MATCH(B213,Products!$A$2:$A$101,0)),"Unknown SKU"))</f>
        <v/>
      </c>
      <c r="E213" s="34" t="n"/>
      <c r="F213" s="36" t="n"/>
      <c r="G213" s="44">
        <f>IF(OR(C213="",C213=0,F213=""),"",F213/C213)</f>
        <v/>
      </c>
      <c r="H213" s="34" t="n"/>
    </row>
    <row r="214">
      <c r="A214" s="45" t="n"/>
      <c r="B214" s="34" t="n"/>
      <c r="C214" s="34" t="n"/>
      <c r="D214" s="46">
        <f>IF(B214="","",IFERROR(INDEX(Products!$B$2:$B$101,MATCH(B214,Products!$A$2:$A$101,0)),"Unknown SKU"))</f>
        <v/>
      </c>
      <c r="E214" s="34" t="n"/>
      <c r="F214" s="36" t="n"/>
      <c r="G214" s="44">
        <f>IF(OR(C214="",C214=0,F214=""),"",F214/C214)</f>
        <v/>
      </c>
      <c r="H214" s="34" t="n"/>
    </row>
    <row r="215">
      <c r="A215" s="45" t="n"/>
      <c r="B215" s="34" t="n"/>
      <c r="C215" s="34" t="n"/>
      <c r="D215" s="46">
        <f>IF(B215="","",IFERROR(INDEX(Products!$B$2:$B$101,MATCH(B215,Products!$A$2:$A$101,0)),"Unknown SKU"))</f>
        <v/>
      </c>
      <c r="E215" s="34" t="n"/>
      <c r="F215" s="36" t="n"/>
      <c r="G215" s="44">
        <f>IF(OR(C215="",C215=0,F215=""),"",F215/C215)</f>
        <v/>
      </c>
      <c r="H215" s="34" t="n"/>
    </row>
    <row r="216">
      <c r="A216" s="45" t="n"/>
      <c r="B216" s="34" t="n"/>
      <c r="C216" s="34" t="n"/>
      <c r="D216" s="46">
        <f>IF(B216="","",IFERROR(INDEX(Products!$B$2:$B$101,MATCH(B216,Products!$A$2:$A$101,0)),"Unknown SKU"))</f>
        <v/>
      </c>
      <c r="E216" s="34" t="n"/>
      <c r="F216" s="36" t="n"/>
      <c r="G216" s="44">
        <f>IF(OR(C216="",C216=0,F216=""),"",F216/C216)</f>
        <v/>
      </c>
      <c r="H216" s="34" t="n"/>
    </row>
    <row r="217">
      <c r="A217" s="45" t="n"/>
      <c r="B217" s="34" t="n"/>
      <c r="C217" s="34" t="n"/>
      <c r="D217" s="46">
        <f>IF(B217="","",IFERROR(INDEX(Products!$B$2:$B$101,MATCH(B217,Products!$A$2:$A$101,0)),"Unknown SKU"))</f>
        <v/>
      </c>
      <c r="E217" s="34" t="n"/>
      <c r="F217" s="36" t="n"/>
      <c r="G217" s="44">
        <f>IF(OR(C217="",C217=0,F217=""),"",F217/C217)</f>
        <v/>
      </c>
      <c r="H217" s="34" t="n"/>
    </row>
    <row r="218">
      <c r="A218" s="45" t="n"/>
      <c r="B218" s="34" t="n"/>
      <c r="C218" s="34" t="n"/>
      <c r="D218" s="46">
        <f>IF(B218="","",IFERROR(INDEX(Products!$B$2:$B$101,MATCH(B218,Products!$A$2:$A$101,0)),"Unknown SKU"))</f>
        <v/>
      </c>
      <c r="E218" s="34" t="n"/>
      <c r="F218" s="36" t="n"/>
      <c r="G218" s="44">
        <f>IF(OR(C218="",C218=0,F218=""),"",F218/C218)</f>
        <v/>
      </c>
      <c r="H218" s="34" t="n"/>
    </row>
    <row r="219">
      <c r="A219" s="45" t="n"/>
      <c r="B219" s="34" t="n"/>
      <c r="C219" s="34" t="n"/>
      <c r="D219" s="46">
        <f>IF(B219="","",IFERROR(INDEX(Products!$B$2:$B$101,MATCH(B219,Products!$A$2:$A$101,0)),"Unknown SKU"))</f>
        <v/>
      </c>
      <c r="E219" s="34" t="n"/>
      <c r="F219" s="36" t="n"/>
      <c r="G219" s="44">
        <f>IF(OR(C219="",C219=0,F219=""),"",F219/C219)</f>
        <v/>
      </c>
      <c r="H219" s="34" t="n"/>
    </row>
    <row r="220">
      <c r="A220" s="45" t="n"/>
      <c r="B220" s="34" t="n"/>
      <c r="C220" s="34" t="n"/>
      <c r="D220" s="46">
        <f>IF(B220="","",IFERROR(INDEX(Products!$B$2:$B$101,MATCH(B220,Products!$A$2:$A$101,0)),"Unknown SKU"))</f>
        <v/>
      </c>
      <c r="E220" s="34" t="n"/>
      <c r="F220" s="36" t="n"/>
      <c r="G220" s="44">
        <f>IF(OR(C220="",C220=0,F220=""),"",F220/C220)</f>
        <v/>
      </c>
      <c r="H220" s="34" t="n"/>
    </row>
    <row r="221">
      <c r="A221" s="45" t="n"/>
      <c r="B221" s="34" t="n"/>
      <c r="C221" s="34" t="n"/>
      <c r="D221" s="46">
        <f>IF(B221="","",IFERROR(INDEX(Products!$B$2:$B$101,MATCH(B221,Products!$A$2:$A$101,0)),"Unknown SKU"))</f>
        <v/>
      </c>
      <c r="E221" s="34" t="n"/>
      <c r="F221" s="36" t="n"/>
      <c r="G221" s="44">
        <f>IF(OR(C221="",C221=0,F221=""),"",F221/C221)</f>
        <v/>
      </c>
      <c r="H221" s="34" t="n"/>
    </row>
    <row r="222">
      <c r="A222" s="45" t="n"/>
      <c r="B222" s="34" t="n"/>
      <c r="C222" s="34" t="n"/>
      <c r="D222" s="46">
        <f>IF(B222="","",IFERROR(INDEX(Products!$B$2:$B$101,MATCH(B222,Products!$A$2:$A$101,0)),"Unknown SKU"))</f>
        <v/>
      </c>
      <c r="E222" s="34" t="n"/>
      <c r="F222" s="36" t="n"/>
      <c r="G222" s="44">
        <f>IF(OR(C222="",C222=0,F222=""),"",F222/C222)</f>
        <v/>
      </c>
      <c r="H222" s="34" t="n"/>
    </row>
    <row r="223">
      <c r="A223" s="45" t="n"/>
      <c r="B223" s="34" t="n"/>
      <c r="C223" s="34" t="n"/>
      <c r="D223" s="46">
        <f>IF(B223="","",IFERROR(INDEX(Products!$B$2:$B$101,MATCH(B223,Products!$A$2:$A$101,0)),"Unknown SKU"))</f>
        <v/>
      </c>
      <c r="E223" s="34" t="n"/>
      <c r="F223" s="36" t="n"/>
      <c r="G223" s="44">
        <f>IF(OR(C223="",C223=0,F223=""),"",F223/C223)</f>
        <v/>
      </c>
      <c r="H223" s="34" t="n"/>
    </row>
    <row r="224">
      <c r="A224" s="45" t="n"/>
      <c r="B224" s="34" t="n"/>
      <c r="C224" s="34" t="n"/>
      <c r="D224" s="46">
        <f>IF(B224="","",IFERROR(INDEX(Products!$B$2:$B$101,MATCH(B224,Products!$A$2:$A$101,0)),"Unknown SKU"))</f>
        <v/>
      </c>
      <c r="E224" s="34" t="n"/>
      <c r="F224" s="36" t="n"/>
      <c r="G224" s="44">
        <f>IF(OR(C224="",C224=0,F224=""),"",F224/C224)</f>
        <v/>
      </c>
      <c r="H224" s="34" t="n"/>
    </row>
    <row r="225">
      <c r="A225" s="45" t="n"/>
      <c r="B225" s="34" t="n"/>
      <c r="C225" s="34" t="n"/>
      <c r="D225" s="46">
        <f>IF(B225="","",IFERROR(INDEX(Products!$B$2:$B$101,MATCH(B225,Products!$A$2:$A$101,0)),"Unknown SKU"))</f>
        <v/>
      </c>
      <c r="E225" s="34" t="n"/>
      <c r="F225" s="36" t="n"/>
      <c r="G225" s="44">
        <f>IF(OR(C225="",C225=0,F225=""),"",F225/C225)</f>
        <v/>
      </c>
      <c r="H225" s="34" t="n"/>
    </row>
    <row r="226">
      <c r="A226" s="45" t="n"/>
      <c r="B226" s="34" t="n"/>
      <c r="C226" s="34" t="n"/>
      <c r="D226" s="46">
        <f>IF(B226="","",IFERROR(INDEX(Products!$B$2:$B$101,MATCH(B226,Products!$A$2:$A$101,0)),"Unknown SKU"))</f>
        <v/>
      </c>
      <c r="E226" s="34" t="n"/>
      <c r="F226" s="36" t="n"/>
      <c r="G226" s="44">
        <f>IF(OR(C226="",C226=0,F226=""),"",F226/C226)</f>
        <v/>
      </c>
      <c r="H226" s="34" t="n"/>
    </row>
    <row r="227">
      <c r="A227" s="45" t="n"/>
      <c r="B227" s="34" t="n"/>
      <c r="C227" s="34" t="n"/>
      <c r="D227" s="46">
        <f>IF(B227="","",IFERROR(INDEX(Products!$B$2:$B$101,MATCH(B227,Products!$A$2:$A$101,0)),"Unknown SKU"))</f>
        <v/>
      </c>
      <c r="E227" s="34" t="n"/>
      <c r="F227" s="36" t="n"/>
      <c r="G227" s="44">
        <f>IF(OR(C227="",C227=0,F227=""),"",F227/C227)</f>
        <v/>
      </c>
      <c r="H227" s="34" t="n"/>
    </row>
    <row r="228">
      <c r="A228" s="45" t="n"/>
      <c r="B228" s="34" t="n"/>
      <c r="C228" s="34" t="n"/>
      <c r="D228" s="46">
        <f>IF(B228="","",IFERROR(INDEX(Products!$B$2:$B$101,MATCH(B228,Products!$A$2:$A$101,0)),"Unknown SKU"))</f>
        <v/>
      </c>
      <c r="E228" s="34" t="n"/>
      <c r="F228" s="36" t="n"/>
      <c r="G228" s="44">
        <f>IF(OR(C228="",C228=0,F228=""),"",F228/C228)</f>
        <v/>
      </c>
      <c r="H228" s="34" t="n"/>
    </row>
    <row r="229">
      <c r="A229" s="45" t="n"/>
      <c r="B229" s="34" t="n"/>
      <c r="C229" s="34" t="n"/>
      <c r="D229" s="46">
        <f>IF(B229="","",IFERROR(INDEX(Products!$B$2:$B$101,MATCH(B229,Products!$A$2:$A$101,0)),"Unknown SKU"))</f>
        <v/>
      </c>
      <c r="E229" s="34" t="n"/>
      <c r="F229" s="36" t="n"/>
      <c r="G229" s="44">
        <f>IF(OR(C229="",C229=0,F229=""),"",F229/C229)</f>
        <v/>
      </c>
      <c r="H229" s="34" t="n"/>
    </row>
    <row r="230">
      <c r="A230" s="45" t="n"/>
      <c r="B230" s="34" t="n"/>
      <c r="C230" s="34" t="n"/>
      <c r="D230" s="46">
        <f>IF(B230="","",IFERROR(INDEX(Products!$B$2:$B$101,MATCH(B230,Products!$A$2:$A$101,0)),"Unknown SKU"))</f>
        <v/>
      </c>
      <c r="E230" s="34" t="n"/>
      <c r="F230" s="36" t="n"/>
      <c r="G230" s="44">
        <f>IF(OR(C230="",C230=0,F230=""),"",F230/C230)</f>
        <v/>
      </c>
      <c r="H230" s="34" t="n"/>
    </row>
    <row r="231">
      <c r="A231" s="45" t="n"/>
      <c r="B231" s="34" t="n"/>
      <c r="C231" s="34" t="n"/>
      <c r="D231" s="46">
        <f>IF(B231="","",IFERROR(INDEX(Products!$B$2:$B$101,MATCH(B231,Products!$A$2:$A$101,0)),"Unknown SKU"))</f>
        <v/>
      </c>
      <c r="E231" s="34" t="n"/>
      <c r="F231" s="36" t="n"/>
      <c r="G231" s="44">
        <f>IF(OR(C231="",C231=0,F231=""),"",F231/C231)</f>
        <v/>
      </c>
      <c r="H231" s="34" t="n"/>
    </row>
    <row r="232">
      <c r="A232" s="45" t="n"/>
      <c r="B232" s="34" t="n"/>
      <c r="C232" s="34" t="n"/>
      <c r="D232" s="46">
        <f>IF(B232="","",IFERROR(INDEX(Products!$B$2:$B$101,MATCH(B232,Products!$A$2:$A$101,0)),"Unknown SKU"))</f>
        <v/>
      </c>
      <c r="E232" s="34" t="n"/>
      <c r="F232" s="36" t="n"/>
      <c r="G232" s="44">
        <f>IF(OR(C232="",C232=0,F232=""),"",F232/C232)</f>
        <v/>
      </c>
      <c r="H232" s="34" t="n"/>
    </row>
    <row r="233">
      <c r="A233" s="45" t="n"/>
      <c r="B233" s="34" t="n"/>
      <c r="C233" s="34" t="n"/>
      <c r="D233" s="46">
        <f>IF(B233="","",IFERROR(INDEX(Products!$B$2:$B$101,MATCH(B233,Products!$A$2:$A$101,0)),"Unknown SKU"))</f>
        <v/>
      </c>
      <c r="E233" s="34" t="n"/>
      <c r="F233" s="36" t="n"/>
      <c r="G233" s="44">
        <f>IF(OR(C233="",C233=0,F233=""),"",F233/C233)</f>
        <v/>
      </c>
      <c r="H233" s="34" t="n"/>
    </row>
    <row r="234">
      <c r="A234" s="45" t="n"/>
      <c r="B234" s="34" t="n"/>
      <c r="C234" s="34" t="n"/>
      <c r="D234" s="46">
        <f>IF(B234="","",IFERROR(INDEX(Products!$B$2:$B$101,MATCH(B234,Products!$A$2:$A$101,0)),"Unknown SKU"))</f>
        <v/>
      </c>
      <c r="E234" s="34" t="n"/>
      <c r="F234" s="36" t="n"/>
      <c r="G234" s="44">
        <f>IF(OR(C234="",C234=0,F234=""),"",F234/C234)</f>
        <v/>
      </c>
      <c r="H234" s="34" t="n"/>
    </row>
    <row r="235">
      <c r="A235" s="45" t="n"/>
      <c r="B235" s="34" t="n"/>
      <c r="C235" s="34" t="n"/>
      <c r="D235" s="46">
        <f>IF(B235="","",IFERROR(INDEX(Products!$B$2:$B$101,MATCH(B235,Products!$A$2:$A$101,0)),"Unknown SKU"))</f>
        <v/>
      </c>
      <c r="E235" s="34" t="n"/>
      <c r="F235" s="36" t="n"/>
      <c r="G235" s="44">
        <f>IF(OR(C235="",C235=0,F235=""),"",F235/C235)</f>
        <v/>
      </c>
      <c r="H235" s="34" t="n"/>
    </row>
    <row r="236">
      <c r="A236" s="45" t="n"/>
      <c r="B236" s="34" t="n"/>
      <c r="C236" s="34" t="n"/>
      <c r="D236" s="46">
        <f>IF(B236="","",IFERROR(INDEX(Products!$B$2:$B$101,MATCH(B236,Products!$A$2:$A$101,0)),"Unknown SKU"))</f>
        <v/>
      </c>
      <c r="E236" s="34" t="n"/>
      <c r="F236" s="36" t="n"/>
      <c r="G236" s="44">
        <f>IF(OR(C236="",C236=0,F236=""),"",F236/C236)</f>
        <v/>
      </c>
      <c r="H236" s="34" t="n"/>
    </row>
    <row r="237">
      <c r="A237" s="45" t="n"/>
      <c r="B237" s="34" t="n"/>
      <c r="C237" s="34" t="n"/>
      <c r="D237" s="46">
        <f>IF(B237="","",IFERROR(INDEX(Products!$B$2:$B$101,MATCH(B237,Products!$A$2:$A$101,0)),"Unknown SKU"))</f>
        <v/>
      </c>
      <c r="E237" s="34" t="n"/>
      <c r="F237" s="36" t="n"/>
      <c r="G237" s="44">
        <f>IF(OR(C237="",C237=0,F237=""),"",F237/C237)</f>
        <v/>
      </c>
      <c r="H237" s="34" t="n"/>
    </row>
    <row r="238">
      <c r="A238" s="45" t="n"/>
      <c r="B238" s="34" t="n"/>
      <c r="C238" s="34" t="n"/>
      <c r="D238" s="46">
        <f>IF(B238="","",IFERROR(INDEX(Products!$B$2:$B$101,MATCH(B238,Products!$A$2:$A$101,0)),"Unknown SKU"))</f>
        <v/>
      </c>
      <c r="E238" s="34" t="n"/>
      <c r="F238" s="36" t="n"/>
      <c r="G238" s="44">
        <f>IF(OR(C238="",C238=0,F238=""),"",F238/C238)</f>
        <v/>
      </c>
      <c r="H238" s="34" t="n"/>
    </row>
    <row r="239">
      <c r="A239" s="45" t="n"/>
      <c r="B239" s="34" t="n"/>
      <c r="C239" s="34" t="n"/>
      <c r="D239" s="46">
        <f>IF(B239="","",IFERROR(INDEX(Products!$B$2:$B$101,MATCH(B239,Products!$A$2:$A$101,0)),"Unknown SKU"))</f>
        <v/>
      </c>
      <c r="E239" s="34" t="n"/>
      <c r="F239" s="36" t="n"/>
      <c r="G239" s="44">
        <f>IF(OR(C239="",C239=0,F239=""),"",F239/C239)</f>
        <v/>
      </c>
      <c r="H239" s="34" t="n"/>
    </row>
    <row r="240">
      <c r="A240" s="45" t="n"/>
      <c r="B240" s="34" t="n"/>
      <c r="C240" s="34" t="n"/>
      <c r="D240" s="46">
        <f>IF(B240="","",IFERROR(INDEX(Products!$B$2:$B$101,MATCH(B240,Products!$A$2:$A$101,0)),"Unknown SKU"))</f>
        <v/>
      </c>
      <c r="E240" s="34" t="n"/>
      <c r="F240" s="36" t="n"/>
      <c r="G240" s="44">
        <f>IF(OR(C240="",C240=0,F240=""),"",F240/C240)</f>
        <v/>
      </c>
      <c r="H240" s="34" t="n"/>
    </row>
    <row r="241">
      <c r="A241" s="45" t="n"/>
      <c r="B241" s="34" t="n"/>
      <c r="C241" s="34" t="n"/>
      <c r="D241" s="46">
        <f>IF(B241="","",IFERROR(INDEX(Products!$B$2:$B$101,MATCH(B241,Products!$A$2:$A$101,0)),"Unknown SKU"))</f>
        <v/>
      </c>
      <c r="E241" s="34" t="n"/>
      <c r="F241" s="36" t="n"/>
      <c r="G241" s="44">
        <f>IF(OR(C241="",C241=0,F241=""),"",F241/C241)</f>
        <v/>
      </c>
      <c r="H241" s="34" t="n"/>
    </row>
    <row r="242">
      <c r="A242" s="45" t="n"/>
      <c r="B242" s="34" t="n"/>
      <c r="C242" s="34" t="n"/>
      <c r="D242" s="46">
        <f>IF(B242="","",IFERROR(INDEX(Products!$B$2:$B$101,MATCH(B242,Products!$A$2:$A$101,0)),"Unknown SKU"))</f>
        <v/>
      </c>
      <c r="E242" s="34" t="n"/>
      <c r="F242" s="36" t="n"/>
      <c r="G242" s="44">
        <f>IF(OR(C242="",C242=0,F242=""),"",F242/C242)</f>
        <v/>
      </c>
      <c r="H242" s="34" t="n"/>
    </row>
    <row r="243">
      <c r="A243" s="45" t="n"/>
      <c r="B243" s="34" t="n"/>
      <c r="C243" s="34" t="n"/>
      <c r="D243" s="46">
        <f>IF(B243="","",IFERROR(INDEX(Products!$B$2:$B$101,MATCH(B243,Products!$A$2:$A$101,0)),"Unknown SKU"))</f>
        <v/>
      </c>
      <c r="E243" s="34" t="n"/>
      <c r="F243" s="36" t="n"/>
      <c r="G243" s="44">
        <f>IF(OR(C243="",C243=0,F243=""),"",F243/C243)</f>
        <v/>
      </c>
      <c r="H243" s="34" t="n"/>
    </row>
    <row r="244">
      <c r="A244" s="45" t="n"/>
      <c r="B244" s="34" t="n"/>
      <c r="C244" s="34" t="n"/>
      <c r="D244" s="46">
        <f>IF(B244="","",IFERROR(INDEX(Products!$B$2:$B$101,MATCH(B244,Products!$A$2:$A$101,0)),"Unknown SKU"))</f>
        <v/>
      </c>
      <c r="E244" s="34" t="n"/>
      <c r="F244" s="36" t="n"/>
      <c r="G244" s="44">
        <f>IF(OR(C244="",C244=0,F244=""),"",F244/C244)</f>
        <v/>
      </c>
      <c r="H244" s="34" t="n"/>
    </row>
    <row r="245">
      <c r="A245" s="45" t="n"/>
      <c r="B245" s="34" t="n"/>
      <c r="C245" s="34" t="n"/>
      <c r="D245" s="46">
        <f>IF(B245="","",IFERROR(INDEX(Products!$B$2:$B$101,MATCH(B245,Products!$A$2:$A$101,0)),"Unknown SKU"))</f>
        <v/>
      </c>
      <c r="E245" s="34" t="n"/>
      <c r="F245" s="36" t="n"/>
      <c r="G245" s="44">
        <f>IF(OR(C245="",C245=0,F245=""),"",F245/C245)</f>
        <v/>
      </c>
      <c r="H245" s="34" t="n"/>
    </row>
    <row r="246">
      <c r="A246" s="45" t="n"/>
      <c r="B246" s="34" t="n"/>
      <c r="C246" s="34" t="n"/>
      <c r="D246" s="46">
        <f>IF(B246="","",IFERROR(INDEX(Products!$B$2:$B$101,MATCH(B246,Products!$A$2:$A$101,0)),"Unknown SKU"))</f>
        <v/>
      </c>
      <c r="E246" s="34" t="n"/>
      <c r="F246" s="36" t="n"/>
      <c r="G246" s="44">
        <f>IF(OR(C246="",C246=0,F246=""),"",F246/C246)</f>
        <v/>
      </c>
      <c r="H246" s="34" t="n"/>
    </row>
    <row r="247">
      <c r="A247" s="45" t="n"/>
      <c r="B247" s="34" t="n"/>
      <c r="C247" s="34" t="n"/>
      <c r="D247" s="46">
        <f>IF(B247="","",IFERROR(INDEX(Products!$B$2:$B$101,MATCH(B247,Products!$A$2:$A$101,0)),"Unknown SKU"))</f>
        <v/>
      </c>
      <c r="E247" s="34" t="n"/>
      <c r="F247" s="36" t="n"/>
      <c r="G247" s="44">
        <f>IF(OR(C247="",C247=0,F247=""),"",F247/C247)</f>
        <v/>
      </c>
      <c r="H247" s="34" t="n"/>
    </row>
    <row r="248">
      <c r="A248" s="45" t="n"/>
      <c r="B248" s="34" t="n"/>
      <c r="C248" s="34" t="n"/>
      <c r="D248" s="46">
        <f>IF(B248="","",IFERROR(INDEX(Products!$B$2:$B$101,MATCH(B248,Products!$A$2:$A$101,0)),"Unknown SKU"))</f>
        <v/>
      </c>
      <c r="E248" s="34" t="n"/>
      <c r="F248" s="36" t="n"/>
      <c r="G248" s="44">
        <f>IF(OR(C248="",C248=0,F248=""),"",F248/C248)</f>
        <v/>
      </c>
      <c r="H248" s="34" t="n"/>
    </row>
    <row r="249">
      <c r="A249" s="45" t="n"/>
      <c r="B249" s="34" t="n"/>
      <c r="C249" s="34" t="n"/>
      <c r="D249" s="46">
        <f>IF(B249="","",IFERROR(INDEX(Products!$B$2:$B$101,MATCH(B249,Products!$A$2:$A$101,0)),"Unknown SKU"))</f>
        <v/>
      </c>
      <c r="E249" s="34" t="n"/>
      <c r="F249" s="36" t="n"/>
      <c r="G249" s="44">
        <f>IF(OR(C249="",C249=0,F249=""),"",F249/C249)</f>
        <v/>
      </c>
      <c r="H249" s="34" t="n"/>
    </row>
    <row r="250">
      <c r="A250" s="45" t="n"/>
      <c r="B250" s="34" t="n"/>
      <c r="C250" s="34" t="n"/>
      <c r="D250" s="46">
        <f>IF(B250="","",IFERROR(INDEX(Products!$B$2:$B$101,MATCH(B250,Products!$A$2:$A$101,0)),"Unknown SKU"))</f>
        <v/>
      </c>
      <c r="E250" s="34" t="n"/>
      <c r="F250" s="36" t="n"/>
      <c r="G250" s="44">
        <f>IF(OR(C250="",C250=0,F250=""),"",F250/C250)</f>
        <v/>
      </c>
      <c r="H250" s="34" t="n"/>
    </row>
    <row r="251">
      <c r="A251" s="45" t="n"/>
      <c r="B251" s="34" t="n"/>
      <c r="C251" s="34" t="n"/>
      <c r="D251" s="46">
        <f>IF(B251="","",IFERROR(INDEX(Products!$B$2:$B$101,MATCH(B251,Products!$A$2:$A$101,0)),"Unknown SKU"))</f>
        <v/>
      </c>
      <c r="E251" s="34" t="n"/>
      <c r="F251" s="36" t="n"/>
      <c r="G251" s="44">
        <f>IF(OR(C251="",C251=0,F251=""),"",F251/C251)</f>
        <v/>
      </c>
      <c r="H251" s="34" t="n"/>
    </row>
    <row r="252">
      <c r="A252" s="45" t="n"/>
      <c r="B252" s="34" t="n"/>
      <c r="C252" s="34" t="n"/>
      <c r="D252" s="46">
        <f>IF(B252="","",IFERROR(INDEX(Products!$B$2:$B$101,MATCH(B252,Products!$A$2:$A$101,0)),"Unknown SKU"))</f>
        <v/>
      </c>
      <c r="E252" s="34" t="n"/>
      <c r="F252" s="36" t="n"/>
      <c r="G252" s="44">
        <f>IF(OR(C252="",C252=0,F252=""),"",F252/C252)</f>
        <v/>
      </c>
      <c r="H252" s="34" t="n"/>
    </row>
    <row r="253">
      <c r="A253" s="45" t="n"/>
      <c r="B253" s="34" t="n"/>
      <c r="C253" s="34" t="n"/>
      <c r="D253" s="46">
        <f>IF(B253="","",IFERROR(INDEX(Products!$B$2:$B$101,MATCH(B253,Products!$A$2:$A$101,0)),"Unknown SKU"))</f>
        <v/>
      </c>
      <c r="E253" s="34" t="n"/>
      <c r="F253" s="36" t="n"/>
      <c r="G253" s="44">
        <f>IF(OR(C253="",C253=0,F253=""),"",F253/C253)</f>
        <v/>
      </c>
      <c r="H253" s="34" t="n"/>
    </row>
    <row r="254">
      <c r="A254" s="45" t="n"/>
      <c r="B254" s="34" t="n"/>
      <c r="C254" s="34" t="n"/>
      <c r="D254" s="46">
        <f>IF(B254="","",IFERROR(INDEX(Products!$B$2:$B$101,MATCH(B254,Products!$A$2:$A$101,0)),"Unknown SKU"))</f>
        <v/>
      </c>
      <c r="E254" s="34" t="n"/>
      <c r="F254" s="36" t="n"/>
      <c r="G254" s="44">
        <f>IF(OR(C254="",C254=0,F254=""),"",F254/C254)</f>
        <v/>
      </c>
      <c r="H254" s="34" t="n"/>
    </row>
    <row r="255">
      <c r="A255" s="45" t="n"/>
      <c r="B255" s="34" t="n"/>
      <c r="C255" s="34" t="n"/>
      <c r="D255" s="46">
        <f>IF(B255="","",IFERROR(INDEX(Products!$B$2:$B$101,MATCH(B255,Products!$A$2:$A$101,0)),"Unknown SKU"))</f>
        <v/>
      </c>
      <c r="E255" s="34" t="n"/>
      <c r="F255" s="36" t="n"/>
      <c r="G255" s="44">
        <f>IF(OR(C255="",C255=0,F255=""),"",F255/C255)</f>
        <v/>
      </c>
      <c r="H255" s="34" t="n"/>
    </row>
    <row r="256">
      <c r="A256" s="45" t="n"/>
      <c r="B256" s="34" t="n"/>
      <c r="C256" s="34" t="n"/>
      <c r="D256" s="46">
        <f>IF(B256="","",IFERROR(INDEX(Products!$B$2:$B$101,MATCH(B256,Products!$A$2:$A$101,0)),"Unknown SKU"))</f>
        <v/>
      </c>
      <c r="E256" s="34" t="n"/>
      <c r="F256" s="36" t="n"/>
      <c r="G256" s="44">
        <f>IF(OR(C256="",C256=0,F256=""),"",F256/C256)</f>
        <v/>
      </c>
      <c r="H256" s="34" t="n"/>
    </row>
    <row r="257">
      <c r="A257" s="45" t="n"/>
      <c r="B257" s="34" t="n"/>
      <c r="C257" s="34" t="n"/>
      <c r="D257" s="46">
        <f>IF(B257="","",IFERROR(INDEX(Products!$B$2:$B$101,MATCH(B257,Products!$A$2:$A$101,0)),"Unknown SKU"))</f>
        <v/>
      </c>
      <c r="E257" s="34" t="n"/>
      <c r="F257" s="36" t="n"/>
      <c r="G257" s="44">
        <f>IF(OR(C257="",C257=0,F257=""),"",F257/C257)</f>
        <v/>
      </c>
      <c r="H257" s="34" t="n"/>
    </row>
    <row r="258">
      <c r="A258" s="45" t="n"/>
      <c r="B258" s="34" t="n"/>
      <c r="C258" s="34" t="n"/>
      <c r="D258" s="46">
        <f>IF(B258="","",IFERROR(INDEX(Products!$B$2:$B$101,MATCH(B258,Products!$A$2:$A$101,0)),"Unknown SKU"))</f>
        <v/>
      </c>
      <c r="E258" s="34" t="n"/>
      <c r="F258" s="36" t="n"/>
      <c r="G258" s="44">
        <f>IF(OR(C258="",C258=0,F258=""),"",F258/C258)</f>
        <v/>
      </c>
      <c r="H258" s="34" t="n"/>
    </row>
    <row r="259">
      <c r="A259" s="45" t="n"/>
      <c r="B259" s="34" t="n"/>
      <c r="C259" s="34" t="n"/>
      <c r="D259" s="46">
        <f>IF(B259="","",IFERROR(INDEX(Products!$B$2:$B$101,MATCH(B259,Products!$A$2:$A$101,0)),"Unknown SKU"))</f>
        <v/>
      </c>
      <c r="E259" s="34" t="n"/>
      <c r="F259" s="36" t="n"/>
      <c r="G259" s="44">
        <f>IF(OR(C259="",C259=0,F259=""),"",F259/C259)</f>
        <v/>
      </c>
      <c r="H259" s="34" t="n"/>
    </row>
    <row r="260">
      <c r="A260" s="45" t="n"/>
      <c r="B260" s="34" t="n"/>
      <c r="C260" s="34" t="n"/>
      <c r="D260" s="46">
        <f>IF(B260="","",IFERROR(INDEX(Products!$B$2:$B$101,MATCH(B260,Products!$A$2:$A$101,0)),"Unknown SKU"))</f>
        <v/>
      </c>
      <c r="E260" s="34" t="n"/>
      <c r="F260" s="36" t="n"/>
      <c r="G260" s="44">
        <f>IF(OR(C260="",C260=0,F260=""),"",F260/C260)</f>
        <v/>
      </c>
      <c r="H260" s="34" t="n"/>
    </row>
    <row r="261">
      <c r="A261" s="45" t="n"/>
      <c r="B261" s="34" t="n"/>
      <c r="C261" s="34" t="n"/>
      <c r="D261" s="46">
        <f>IF(B261="","",IFERROR(INDEX(Products!$B$2:$B$101,MATCH(B261,Products!$A$2:$A$101,0)),"Unknown SKU"))</f>
        <v/>
      </c>
      <c r="E261" s="34" t="n"/>
      <c r="F261" s="36" t="n"/>
      <c r="G261" s="44">
        <f>IF(OR(C261="",C261=0,F261=""),"",F261/C261)</f>
        <v/>
      </c>
      <c r="H261" s="34" t="n"/>
    </row>
    <row r="262">
      <c r="A262" s="45" t="n"/>
      <c r="B262" s="34" t="n"/>
      <c r="C262" s="34" t="n"/>
      <c r="D262" s="46">
        <f>IF(B262="","",IFERROR(INDEX(Products!$B$2:$B$101,MATCH(B262,Products!$A$2:$A$101,0)),"Unknown SKU"))</f>
        <v/>
      </c>
      <c r="E262" s="34" t="n"/>
      <c r="F262" s="36" t="n"/>
      <c r="G262" s="44">
        <f>IF(OR(C262="",C262=0,F262=""),"",F262/C262)</f>
        <v/>
      </c>
      <c r="H262" s="34" t="n"/>
    </row>
    <row r="263">
      <c r="A263" s="45" t="n"/>
      <c r="B263" s="34" t="n"/>
      <c r="C263" s="34" t="n"/>
      <c r="D263" s="46">
        <f>IF(B263="","",IFERROR(INDEX(Products!$B$2:$B$101,MATCH(B263,Products!$A$2:$A$101,0)),"Unknown SKU"))</f>
        <v/>
      </c>
      <c r="E263" s="34" t="n"/>
      <c r="F263" s="36" t="n"/>
      <c r="G263" s="44">
        <f>IF(OR(C263="",C263=0,F263=""),"",F263/C263)</f>
        <v/>
      </c>
      <c r="H263" s="34" t="n"/>
    </row>
    <row r="264">
      <c r="A264" s="45" t="n"/>
      <c r="B264" s="34" t="n"/>
      <c r="C264" s="34" t="n"/>
      <c r="D264" s="46">
        <f>IF(B264="","",IFERROR(INDEX(Products!$B$2:$B$101,MATCH(B264,Products!$A$2:$A$101,0)),"Unknown SKU"))</f>
        <v/>
      </c>
      <c r="E264" s="34" t="n"/>
      <c r="F264" s="36" t="n"/>
      <c r="G264" s="44">
        <f>IF(OR(C264="",C264=0,F264=""),"",F264/C264)</f>
        <v/>
      </c>
      <c r="H264" s="34" t="n"/>
    </row>
    <row r="265">
      <c r="A265" s="45" t="n"/>
      <c r="B265" s="34" t="n"/>
      <c r="C265" s="34" t="n"/>
      <c r="D265" s="46">
        <f>IF(B265="","",IFERROR(INDEX(Products!$B$2:$B$101,MATCH(B265,Products!$A$2:$A$101,0)),"Unknown SKU"))</f>
        <v/>
      </c>
      <c r="E265" s="34" t="n"/>
      <c r="F265" s="36" t="n"/>
      <c r="G265" s="44">
        <f>IF(OR(C265="",C265=0,F265=""),"",F265/C265)</f>
        <v/>
      </c>
      <c r="H265" s="34" t="n"/>
    </row>
    <row r="266">
      <c r="A266" s="45" t="n"/>
      <c r="B266" s="34" t="n"/>
      <c r="C266" s="34" t="n"/>
      <c r="D266" s="46">
        <f>IF(B266="","",IFERROR(INDEX(Products!$B$2:$B$101,MATCH(B266,Products!$A$2:$A$101,0)),"Unknown SKU"))</f>
        <v/>
      </c>
      <c r="E266" s="34" t="n"/>
      <c r="F266" s="36" t="n"/>
      <c r="G266" s="44">
        <f>IF(OR(C266="",C266=0,F266=""),"",F266/C266)</f>
        <v/>
      </c>
      <c r="H266" s="34" t="n"/>
    </row>
    <row r="267">
      <c r="A267" s="45" t="n"/>
      <c r="B267" s="34" t="n"/>
      <c r="C267" s="34" t="n"/>
      <c r="D267" s="46">
        <f>IF(B267="","",IFERROR(INDEX(Products!$B$2:$B$101,MATCH(B267,Products!$A$2:$A$101,0)),"Unknown SKU"))</f>
        <v/>
      </c>
      <c r="E267" s="34" t="n"/>
      <c r="F267" s="36" t="n"/>
      <c r="G267" s="44">
        <f>IF(OR(C267="",C267=0,F267=""),"",F267/C267)</f>
        <v/>
      </c>
      <c r="H267" s="34" t="n"/>
    </row>
    <row r="268">
      <c r="A268" s="45" t="n"/>
      <c r="B268" s="34" t="n"/>
      <c r="C268" s="34" t="n"/>
      <c r="D268" s="46">
        <f>IF(B268="","",IFERROR(INDEX(Products!$B$2:$B$101,MATCH(B268,Products!$A$2:$A$101,0)),"Unknown SKU"))</f>
        <v/>
      </c>
      <c r="E268" s="34" t="n"/>
      <c r="F268" s="36" t="n"/>
      <c r="G268" s="44">
        <f>IF(OR(C268="",C268=0,F268=""),"",F268/C268)</f>
        <v/>
      </c>
      <c r="H268" s="34" t="n"/>
    </row>
    <row r="269">
      <c r="A269" s="45" t="n"/>
      <c r="B269" s="34" t="n"/>
      <c r="C269" s="34" t="n"/>
      <c r="D269" s="46">
        <f>IF(B269="","",IFERROR(INDEX(Products!$B$2:$B$101,MATCH(B269,Products!$A$2:$A$101,0)),"Unknown SKU"))</f>
        <v/>
      </c>
      <c r="E269" s="34" t="n"/>
      <c r="F269" s="36" t="n"/>
      <c r="G269" s="44">
        <f>IF(OR(C269="",C269=0,F269=""),"",F269/C269)</f>
        <v/>
      </c>
      <c r="H269" s="34" t="n"/>
    </row>
    <row r="270">
      <c r="A270" s="45" t="n"/>
      <c r="B270" s="34" t="n"/>
      <c r="C270" s="34" t="n"/>
      <c r="D270" s="46">
        <f>IF(B270="","",IFERROR(INDEX(Products!$B$2:$B$101,MATCH(B270,Products!$A$2:$A$101,0)),"Unknown SKU"))</f>
        <v/>
      </c>
      <c r="E270" s="34" t="n"/>
      <c r="F270" s="36" t="n"/>
      <c r="G270" s="44">
        <f>IF(OR(C270="",C270=0,F270=""),"",F270/C270)</f>
        <v/>
      </c>
      <c r="H270" s="34" t="n"/>
    </row>
    <row r="271">
      <c r="A271" s="45" t="n"/>
      <c r="B271" s="34" t="n"/>
      <c r="C271" s="34" t="n"/>
      <c r="D271" s="46">
        <f>IF(B271="","",IFERROR(INDEX(Products!$B$2:$B$101,MATCH(B271,Products!$A$2:$A$101,0)),"Unknown SKU"))</f>
        <v/>
      </c>
      <c r="E271" s="34" t="n"/>
      <c r="F271" s="36" t="n"/>
      <c r="G271" s="44">
        <f>IF(OR(C271="",C271=0,F271=""),"",F271/C271)</f>
        <v/>
      </c>
      <c r="H271" s="34" t="n"/>
    </row>
    <row r="272">
      <c r="A272" s="45" t="n"/>
      <c r="B272" s="34" t="n"/>
      <c r="C272" s="34" t="n"/>
      <c r="D272" s="46">
        <f>IF(B272="","",IFERROR(INDEX(Products!$B$2:$B$101,MATCH(B272,Products!$A$2:$A$101,0)),"Unknown SKU"))</f>
        <v/>
      </c>
      <c r="E272" s="34" t="n"/>
      <c r="F272" s="36" t="n"/>
      <c r="G272" s="44">
        <f>IF(OR(C272="",C272=0,F272=""),"",F272/C272)</f>
        <v/>
      </c>
      <c r="H272" s="34" t="n"/>
    </row>
    <row r="273">
      <c r="A273" s="45" t="n"/>
      <c r="B273" s="34" t="n"/>
      <c r="C273" s="34" t="n"/>
      <c r="D273" s="46">
        <f>IF(B273="","",IFERROR(INDEX(Products!$B$2:$B$101,MATCH(B273,Products!$A$2:$A$101,0)),"Unknown SKU"))</f>
        <v/>
      </c>
      <c r="E273" s="34" t="n"/>
      <c r="F273" s="36" t="n"/>
      <c r="G273" s="44">
        <f>IF(OR(C273="",C273=0,F273=""),"",F273/C273)</f>
        <v/>
      </c>
      <c r="H273" s="34" t="n"/>
    </row>
    <row r="274">
      <c r="A274" s="45" t="n"/>
      <c r="B274" s="34" t="n"/>
      <c r="C274" s="34" t="n"/>
      <c r="D274" s="46">
        <f>IF(B274="","",IFERROR(INDEX(Products!$B$2:$B$101,MATCH(B274,Products!$A$2:$A$101,0)),"Unknown SKU"))</f>
        <v/>
      </c>
      <c r="E274" s="34" t="n"/>
      <c r="F274" s="36" t="n"/>
      <c r="G274" s="44">
        <f>IF(OR(C274="",C274=0,F274=""),"",F274/C274)</f>
        <v/>
      </c>
      <c r="H274" s="34" t="n"/>
    </row>
    <row r="275">
      <c r="A275" s="45" t="n"/>
      <c r="B275" s="34" t="n"/>
      <c r="C275" s="34" t="n"/>
      <c r="D275" s="46">
        <f>IF(B275="","",IFERROR(INDEX(Products!$B$2:$B$101,MATCH(B275,Products!$A$2:$A$101,0)),"Unknown SKU"))</f>
        <v/>
      </c>
      <c r="E275" s="34" t="n"/>
      <c r="F275" s="36" t="n"/>
      <c r="G275" s="44">
        <f>IF(OR(C275="",C275=0,F275=""),"",F275/C275)</f>
        <v/>
      </c>
      <c r="H275" s="34" t="n"/>
    </row>
    <row r="276">
      <c r="A276" s="45" t="n"/>
      <c r="B276" s="34" t="n"/>
      <c r="C276" s="34" t="n"/>
      <c r="D276" s="46">
        <f>IF(B276="","",IFERROR(INDEX(Products!$B$2:$B$101,MATCH(B276,Products!$A$2:$A$101,0)),"Unknown SKU"))</f>
        <v/>
      </c>
      <c r="E276" s="34" t="n"/>
      <c r="F276" s="36" t="n"/>
      <c r="G276" s="44">
        <f>IF(OR(C276="",C276=0,F276=""),"",F276/C276)</f>
        <v/>
      </c>
      <c r="H276" s="34" t="n"/>
    </row>
    <row r="277">
      <c r="A277" s="45" t="n"/>
      <c r="B277" s="34" t="n"/>
      <c r="C277" s="34" t="n"/>
      <c r="D277" s="46">
        <f>IF(B277="","",IFERROR(INDEX(Products!$B$2:$B$101,MATCH(B277,Products!$A$2:$A$101,0)),"Unknown SKU"))</f>
        <v/>
      </c>
      <c r="E277" s="34" t="n"/>
      <c r="F277" s="36" t="n"/>
      <c r="G277" s="44">
        <f>IF(OR(C277="",C277=0,F277=""),"",F277/C277)</f>
        <v/>
      </c>
      <c r="H277" s="34" t="n"/>
    </row>
    <row r="278">
      <c r="A278" s="45" t="n"/>
      <c r="B278" s="34" t="n"/>
      <c r="C278" s="34" t="n"/>
      <c r="D278" s="46">
        <f>IF(B278="","",IFERROR(INDEX(Products!$B$2:$B$101,MATCH(B278,Products!$A$2:$A$101,0)),"Unknown SKU"))</f>
        <v/>
      </c>
      <c r="E278" s="34" t="n"/>
      <c r="F278" s="36" t="n"/>
      <c r="G278" s="44">
        <f>IF(OR(C278="",C278=0,F278=""),"",F278/C278)</f>
        <v/>
      </c>
      <c r="H278" s="34" t="n"/>
    </row>
    <row r="279">
      <c r="A279" s="45" t="n"/>
      <c r="B279" s="34" t="n"/>
      <c r="C279" s="34" t="n"/>
      <c r="D279" s="46">
        <f>IF(B279="","",IFERROR(INDEX(Products!$B$2:$B$101,MATCH(B279,Products!$A$2:$A$101,0)),"Unknown SKU"))</f>
        <v/>
      </c>
      <c r="E279" s="34" t="n"/>
      <c r="F279" s="36" t="n"/>
      <c r="G279" s="44">
        <f>IF(OR(C279="",C279=0,F279=""),"",F279/C279)</f>
        <v/>
      </c>
      <c r="H279" s="34" t="n"/>
    </row>
    <row r="280">
      <c r="A280" s="45" t="n"/>
      <c r="B280" s="34" t="n"/>
      <c r="C280" s="34" t="n"/>
      <c r="D280" s="46">
        <f>IF(B280="","",IFERROR(INDEX(Products!$B$2:$B$101,MATCH(B280,Products!$A$2:$A$101,0)),"Unknown SKU"))</f>
        <v/>
      </c>
      <c r="E280" s="34" t="n"/>
      <c r="F280" s="36" t="n"/>
      <c r="G280" s="44">
        <f>IF(OR(C280="",C280=0,F280=""),"",F280/C280)</f>
        <v/>
      </c>
      <c r="H280" s="34" t="n"/>
    </row>
    <row r="281">
      <c r="A281" s="45" t="n"/>
      <c r="B281" s="34" t="n"/>
      <c r="C281" s="34" t="n"/>
      <c r="D281" s="46">
        <f>IF(B281="","",IFERROR(INDEX(Products!$B$2:$B$101,MATCH(B281,Products!$A$2:$A$101,0)),"Unknown SKU"))</f>
        <v/>
      </c>
      <c r="E281" s="34" t="n"/>
      <c r="F281" s="36" t="n"/>
      <c r="G281" s="44">
        <f>IF(OR(C281="",C281=0,F281=""),"",F281/C281)</f>
        <v/>
      </c>
      <c r="H281" s="34" t="n"/>
    </row>
    <row r="282">
      <c r="A282" s="45" t="n"/>
      <c r="B282" s="34" t="n"/>
      <c r="C282" s="34" t="n"/>
      <c r="D282" s="46">
        <f>IF(B282="","",IFERROR(INDEX(Products!$B$2:$B$101,MATCH(B282,Products!$A$2:$A$101,0)),"Unknown SKU"))</f>
        <v/>
      </c>
      <c r="E282" s="34" t="n"/>
      <c r="F282" s="36" t="n"/>
      <c r="G282" s="44">
        <f>IF(OR(C282="",C282=0,F282=""),"",F282/C282)</f>
        <v/>
      </c>
      <c r="H282" s="34" t="n"/>
    </row>
    <row r="283">
      <c r="A283" s="45" t="n"/>
      <c r="B283" s="34" t="n"/>
      <c r="C283" s="34" t="n"/>
      <c r="D283" s="46">
        <f>IF(B283="","",IFERROR(INDEX(Products!$B$2:$B$101,MATCH(B283,Products!$A$2:$A$101,0)),"Unknown SKU"))</f>
        <v/>
      </c>
      <c r="E283" s="34" t="n"/>
      <c r="F283" s="36" t="n"/>
      <c r="G283" s="44">
        <f>IF(OR(C283="",C283=0,F283=""),"",F283/C283)</f>
        <v/>
      </c>
      <c r="H283" s="34" t="n"/>
    </row>
    <row r="284">
      <c r="A284" s="45" t="n"/>
      <c r="B284" s="34" t="n"/>
      <c r="C284" s="34" t="n"/>
      <c r="D284" s="46">
        <f>IF(B284="","",IFERROR(INDEX(Products!$B$2:$B$101,MATCH(B284,Products!$A$2:$A$101,0)),"Unknown SKU"))</f>
        <v/>
      </c>
      <c r="E284" s="34" t="n"/>
      <c r="F284" s="36" t="n"/>
      <c r="G284" s="44">
        <f>IF(OR(C284="",C284=0,F284=""),"",F284/C284)</f>
        <v/>
      </c>
      <c r="H284" s="34" t="n"/>
    </row>
    <row r="285">
      <c r="A285" s="45" t="n"/>
      <c r="B285" s="34" t="n"/>
      <c r="C285" s="34" t="n"/>
      <c r="D285" s="46">
        <f>IF(B285="","",IFERROR(INDEX(Products!$B$2:$B$101,MATCH(B285,Products!$A$2:$A$101,0)),"Unknown SKU"))</f>
        <v/>
      </c>
      <c r="E285" s="34" t="n"/>
      <c r="F285" s="36" t="n"/>
      <c r="G285" s="44">
        <f>IF(OR(C285="",C285=0,F285=""),"",F285/C285)</f>
        <v/>
      </c>
      <c r="H285" s="34" t="n"/>
    </row>
    <row r="286">
      <c r="A286" s="45" t="n"/>
      <c r="B286" s="34" t="n"/>
      <c r="C286" s="34" t="n"/>
      <c r="D286" s="46">
        <f>IF(B286="","",IFERROR(INDEX(Products!$B$2:$B$101,MATCH(B286,Products!$A$2:$A$101,0)),"Unknown SKU"))</f>
        <v/>
      </c>
      <c r="E286" s="34" t="n"/>
      <c r="F286" s="36" t="n"/>
      <c r="G286" s="44">
        <f>IF(OR(C286="",C286=0,F286=""),"",F286/C286)</f>
        <v/>
      </c>
      <c r="H286" s="34" t="n"/>
    </row>
    <row r="287">
      <c r="A287" s="45" t="n"/>
      <c r="B287" s="34" t="n"/>
      <c r="C287" s="34" t="n"/>
      <c r="D287" s="46">
        <f>IF(B287="","",IFERROR(INDEX(Products!$B$2:$B$101,MATCH(B287,Products!$A$2:$A$101,0)),"Unknown SKU"))</f>
        <v/>
      </c>
      <c r="E287" s="34" t="n"/>
      <c r="F287" s="36" t="n"/>
      <c r="G287" s="44">
        <f>IF(OR(C287="",C287=0,F287=""),"",F287/C287)</f>
        <v/>
      </c>
      <c r="H287" s="34" t="n"/>
    </row>
    <row r="288">
      <c r="A288" s="45" t="n"/>
      <c r="B288" s="34" t="n"/>
      <c r="C288" s="34" t="n"/>
      <c r="D288" s="46">
        <f>IF(B288="","",IFERROR(INDEX(Products!$B$2:$B$101,MATCH(B288,Products!$A$2:$A$101,0)),"Unknown SKU"))</f>
        <v/>
      </c>
      <c r="E288" s="34" t="n"/>
      <c r="F288" s="36" t="n"/>
      <c r="G288" s="44">
        <f>IF(OR(C288="",C288=0,F288=""),"",F288/C288)</f>
        <v/>
      </c>
      <c r="H288" s="34" t="n"/>
    </row>
    <row r="289">
      <c r="A289" s="45" t="n"/>
      <c r="B289" s="34" t="n"/>
      <c r="C289" s="34" t="n"/>
      <c r="D289" s="46">
        <f>IF(B289="","",IFERROR(INDEX(Products!$B$2:$B$101,MATCH(B289,Products!$A$2:$A$101,0)),"Unknown SKU"))</f>
        <v/>
      </c>
      <c r="E289" s="34" t="n"/>
      <c r="F289" s="36" t="n"/>
      <c r="G289" s="44">
        <f>IF(OR(C289="",C289=0,F289=""),"",F289/C289)</f>
        <v/>
      </c>
      <c r="H289" s="34" t="n"/>
    </row>
    <row r="290">
      <c r="A290" s="45" t="n"/>
      <c r="B290" s="34" t="n"/>
      <c r="C290" s="34" t="n"/>
      <c r="D290" s="46">
        <f>IF(B290="","",IFERROR(INDEX(Products!$B$2:$B$101,MATCH(B290,Products!$A$2:$A$101,0)),"Unknown SKU"))</f>
        <v/>
      </c>
      <c r="E290" s="34" t="n"/>
      <c r="F290" s="36" t="n"/>
      <c r="G290" s="44">
        <f>IF(OR(C290="",C290=0,F290=""),"",F290/C290)</f>
        <v/>
      </c>
      <c r="H290" s="34" t="n"/>
    </row>
    <row r="291">
      <c r="A291" s="45" t="n"/>
      <c r="B291" s="34" t="n"/>
      <c r="C291" s="34" t="n"/>
      <c r="D291" s="46">
        <f>IF(B291="","",IFERROR(INDEX(Products!$B$2:$B$101,MATCH(B291,Products!$A$2:$A$101,0)),"Unknown SKU"))</f>
        <v/>
      </c>
      <c r="E291" s="34" t="n"/>
      <c r="F291" s="36" t="n"/>
      <c r="G291" s="44">
        <f>IF(OR(C291="",C291=0,F291=""),"",F291/C291)</f>
        <v/>
      </c>
      <c r="H291" s="34" t="n"/>
    </row>
    <row r="292">
      <c r="A292" s="45" t="n"/>
      <c r="B292" s="34" t="n"/>
      <c r="C292" s="34" t="n"/>
      <c r="D292" s="46">
        <f>IF(B292="","",IFERROR(INDEX(Products!$B$2:$B$101,MATCH(B292,Products!$A$2:$A$101,0)),"Unknown SKU"))</f>
        <v/>
      </c>
      <c r="E292" s="34" t="n"/>
      <c r="F292" s="36" t="n"/>
      <c r="G292" s="44">
        <f>IF(OR(C292="",C292=0,F292=""),"",F292/C292)</f>
        <v/>
      </c>
      <c r="H292" s="34" t="n"/>
    </row>
    <row r="293">
      <c r="A293" s="45" t="n"/>
      <c r="B293" s="34" t="n"/>
      <c r="C293" s="34" t="n"/>
      <c r="D293" s="46">
        <f>IF(B293="","",IFERROR(INDEX(Products!$B$2:$B$101,MATCH(B293,Products!$A$2:$A$101,0)),"Unknown SKU"))</f>
        <v/>
      </c>
      <c r="E293" s="34" t="n"/>
      <c r="F293" s="36" t="n"/>
      <c r="G293" s="44">
        <f>IF(OR(C293="",C293=0,F293=""),"",F293/C293)</f>
        <v/>
      </c>
      <c r="H293" s="34" t="n"/>
    </row>
    <row r="294">
      <c r="A294" s="45" t="n"/>
      <c r="B294" s="34" t="n"/>
      <c r="C294" s="34" t="n"/>
      <c r="D294" s="46">
        <f>IF(B294="","",IFERROR(INDEX(Products!$B$2:$B$101,MATCH(B294,Products!$A$2:$A$101,0)),"Unknown SKU"))</f>
        <v/>
      </c>
      <c r="E294" s="34" t="n"/>
      <c r="F294" s="36" t="n"/>
      <c r="G294" s="44">
        <f>IF(OR(C294="",C294=0,F294=""),"",F294/C294)</f>
        <v/>
      </c>
      <c r="H294" s="34" t="n"/>
    </row>
    <row r="295">
      <c r="A295" s="45" t="n"/>
      <c r="B295" s="34" t="n"/>
      <c r="C295" s="34" t="n"/>
      <c r="D295" s="46">
        <f>IF(B295="","",IFERROR(INDEX(Products!$B$2:$B$101,MATCH(B295,Products!$A$2:$A$101,0)),"Unknown SKU"))</f>
        <v/>
      </c>
      <c r="E295" s="34" t="n"/>
      <c r="F295" s="36" t="n"/>
      <c r="G295" s="44">
        <f>IF(OR(C295="",C295=0,F295=""),"",F295/C295)</f>
        <v/>
      </c>
      <c r="H295" s="34" t="n"/>
    </row>
    <row r="296">
      <c r="A296" s="45" t="n"/>
      <c r="B296" s="34" t="n"/>
      <c r="C296" s="34" t="n"/>
      <c r="D296" s="46">
        <f>IF(B296="","",IFERROR(INDEX(Products!$B$2:$B$101,MATCH(B296,Products!$A$2:$A$101,0)),"Unknown SKU"))</f>
        <v/>
      </c>
      <c r="E296" s="34" t="n"/>
      <c r="F296" s="36" t="n"/>
      <c r="G296" s="44">
        <f>IF(OR(C296="",C296=0,F296=""),"",F296/C296)</f>
        <v/>
      </c>
      <c r="H296" s="34" t="n"/>
    </row>
    <row r="297">
      <c r="A297" s="45" t="n"/>
      <c r="B297" s="34" t="n"/>
      <c r="C297" s="34" t="n"/>
      <c r="D297" s="46">
        <f>IF(B297="","",IFERROR(INDEX(Products!$B$2:$B$101,MATCH(B297,Products!$A$2:$A$101,0)),"Unknown SKU"))</f>
        <v/>
      </c>
      <c r="E297" s="34" t="n"/>
      <c r="F297" s="36" t="n"/>
      <c r="G297" s="44">
        <f>IF(OR(C297="",C297=0,F297=""),"",F297/C297)</f>
        <v/>
      </c>
      <c r="H297" s="34" t="n"/>
    </row>
    <row r="298">
      <c r="A298" s="45" t="n"/>
      <c r="B298" s="34" t="n"/>
      <c r="C298" s="34" t="n"/>
      <c r="D298" s="46">
        <f>IF(B298="","",IFERROR(INDEX(Products!$B$2:$B$101,MATCH(B298,Products!$A$2:$A$101,0)),"Unknown SKU"))</f>
        <v/>
      </c>
      <c r="E298" s="34" t="n"/>
      <c r="F298" s="36" t="n"/>
      <c r="G298" s="44">
        <f>IF(OR(C298="",C298=0,F298=""),"",F298/C298)</f>
        <v/>
      </c>
      <c r="H298" s="34" t="n"/>
    </row>
    <row r="299">
      <c r="A299" s="45" t="n"/>
      <c r="B299" s="34" t="n"/>
      <c r="C299" s="34" t="n"/>
      <c r="D299" s="46">
        <f>IF(B299="","",IFERROR(INDEX(Products!$B$2:$B$101,MATCH(B299,Products!$A$2:$A$101,0)),"Unknown SKU"))</f>
        <v/>
      </c>
      <c r="E299" s="34" t="n"/>
      <c r="F299" s="36" t="n"/>
      <c r="G299" s="44">
        <f>IF(OR(C299="",C299=0,F299=""),"",F299/C299)</f>
        <v/>
      </c>
      <c r="H299" s="34" t="n"/>
    </row>
    <row r="300">
      <c r="A300" s="45" t="n"/>
      <c r="B300" s="34" t="n"/>
      <c r="C300" s="34" t="n"/>
      <c r="D300" s="46">
        <f>IF(B300="","",IFERROR(INDEX(Products!$B$2:$B$101,MATCH(B300,Products!$A$2:$A$101,0)),"Unknown SKU"))</f>
        <v/>
      </c>
      <c r="E300" s="34" t="n"/>
      <c r="F300" s="36" t="n"/>
      <c r="G300" s="44">
        <f>IF(OR(C300="",C300=0,F300=""),"",F300/C300)</f>
        <v/>
      </c>
      <c r="H300" s="34" t="n"/>
    </row>
    <row r="301">
      <c r="A301" s="45" t="n"/>
      <c r="B301" s="34" t="n"/>
      <c r="C301" s="34" t="n"/>
      <c r="D301" s="46">
        <f>IF(B301="","",IFERROR(INDEX(Products!$B$2:$B$101,MATCH(B301,Products!$A$2:$A$101,0)),"Unknown SKU"))</f>
        <v/>
      </c>
      <c r="E301" s="34" t="n"/>
      <c r="F301" s="36" t="n"/>
      <c r="G301" s="44">
        <f>IF(OR(C301="",C301=0,F301=""),"",F301/C301)</f>
        <v/>
      </c>
      <c r="H301" s="34" t="n"/>
    </row>
    <row r="302">
      <c r="A302" s="45" t="n"/>
      <c r="B302" s="34" t="n"/>
      <c r="C302" s="34" t="n"/>
      <c r="D302" s="46">
        <f>IF(B302="","",IFERROR(INDEX(Products!$B$2:$B$101,MATCH(B302,Products!$A$2:$A$101,0)),"Unknown SKU"))</f>
        <v/>
      </c>
      <c r="E302" s="34" t="n"/>
      <c r="F302" s="36" t="n"/>
      <c r="G302" s="44">
        <f>IF(OR(C302="",C302=0,F302=""),"",F302/C302)</f>
        <v/>
      </c>
      <c r="H302" s="34" t="n"/>
    </row>
    <row r="303">
      <c r="A303" s="45" t="n"/>
      <c r="B303" s="34" t="n"/>
      <c r="C303" s="34" t="n"/>
      <c r="D303" s="46">
        <f>IF(B303="","",IFERROR(INDEX(Products!$B$2:$B$101,MATCH(B303,Products!$A$2:$A$101,0)),"Unknown SKU"))</f>
        <v/>
      </c>
      <c r="E303" s="34" t="n"/>
      <c r="F303" s="36" t="n"/>
      <c r="G303" s="44">
        <f>IF(OR(C303="",C303=0,F303=""),"",F303/C303)</f>
        <v/>
      </c>
      <c r="H303" s="34" t="n"/>
    </row>
    <row r="304">
      <c r="A304" s="45" t="n"/>
      <c r="B304" s="34" t="n"/>
      <c r="C304" s="34" t="n"/>
      <c r="D304" s="46">
        <f>IF(B304="","",IFERROR(INDEX(Products!$B$2:$B$101,MATCH(B304,Products!$A$2:$A$101,0)),"Unknown SKU"))</f>
        <v/>
      </c>
      <c r="E304" s="34" t="n"/>
      <c r="F304" s="36" t="n"/>
      <c r="G304" s="44">
        <f>IF(OR(C304="",C304=0,F304=""),"",F304/C304)</f>
        <v/>
      </c>
      <c r="H304" s="34" t="n"/>
    </row>
    <row r="305">
      <c r="A305" s="45" t="n"/>
      <c r="B305" s="34" t="n"/>
      <c r="C305" s="34" t="n"/>
      <c r="D305" s="46">
        <f>IF(B305="","",IFERROR(INDEX(Products!$B$2:$B$101,MATCH(B305,Products!$A$2:$A$101,0)),"Unknown SKU"))</f>
        <v/>
      </c>
      <c r="E305" s="34" t="n"/>
      <c r="F305" s="36" t="n"/>
      <c r="G305" s="44">
        <f>IF(OR(C305="",C305=0,F305=""),"",F305/C305)</f>
        <v/>
      </c>
      <c r="H305" s="34" t="n"/>
    </row>
    <row r="306">
      <c r="A306" s="45" t="n"/>
      <c r="B306" s="34" t="n"/>
      <c r="C306" s="34" t="n"/>
      <c r="D306" s="46">
        <f>IF(B306="","",IFERROR(INDEX(Products!$B$2:$B$101,MATCH(B306,Products!$A$2:$A$101,0)),"Unknown SKU"))</f>
        <v/>
      </c>
      <c r="E306" s="34" t="n"/>
      <c r="F306" s="36" t="n"/>
      <c r="G306" s="44">
        <f>IF(OR(C306="",C306=0,F306=""),"",F306/C306)</f>
        <v/>
      </c>
      <c r="H306" s="34" t="n"/>
    </row>
    <row r="307">
      <c r="A307" s="45" t="n"/>
      <c r="B307" s="34" t="n"/>
      <c r="C307" s="34" t="n"/>
      <c r="D307" s="46">
        <f>IF(B307="","",IFERROR(INDEX(Products!$B$2:$B$101,MATCH(B307,Products!$A$2:$A$101,0)),"Unknown SKU"))</f>
        <v/>
      </c>
      <c r="E307" s="34" t="n"/>
      <c r="F307" s="36" t="n"/>
      <c r="G307" s="44">
        <f>IF(OR(C307="",C307=0,F307=""),"",F307/C307)</f>
        <v/>
      </c>
      <c r="H307" s="34" t="n"/>
    </row>
    <row r="308">
      <c r="A308" s="45" t="n"/>
      <c r="B308" s="34" t="n"/>
      <c r="C308" s="34" t="n"/>
      <c r="D308" s="46">
        <f>IF(B308="","",IFERROR(INDEX(Products!$B$2:$B$101,MATCH(B308,Products!$A$2:$A$101,0)),"Unknown SKU"))</f>
        <v/>
      </c>
      <c r="E308" s="34" t="n"/>
      <c r="F308" s="36" t="n"/>
      <c r="G308" s="44">
        <f>IF(OR(C308="",C308=0,F308=""),"",F308/C308)</f>
        <v/>
      </c>
      <c r="H308" s="34" t="n"/>
    </row>
    <row r="309">
      <c r="A309" s="45" t="n"/>
      <c r="B309" s="34" t="n"/>
      <c r="C309" s="34" t="n"/>
      <c r="D309" s="46">
        <f>IF(B309="","",IFERROR(INDEX(Products!$B$2:$B$101,MATCH(B309,Products!$A$2:$A$101,0)),"Unknown SKU"))</f>
        <v/>
      </c>
      <c r="E309" s="34" t="n"/>
      <c r="F309" s="36" t="n"/>
      <c r="G309" s="44">
        <f>IF(OR(C309="",C309=0,F309=""),"",F309/C309)</f>
        <v/>
      </c>
      <c r="H309" s="34" t="n"/>
    </row>
    <row r="310">
      <c r="A310" s="45" t="n"/>
      <c r="B310" s="34" t="n"/>
      <c r="C310" s="34" t="n"/>
      <c r="D310" s="46">
        <f>IF(B310="","",IFERROR(INDEX(Products!$B$2:$B$101,MATCH(B310,Products!$A$2:$A$101,0)),"Unknown SKU"))</f>
        <v/>
      </c>
      <c r="E310" s="34" t="n"/>
      <c r="F310" s="36" t="n"/>
      <c r="G310" s="44">
        <f>IF(OR(C310="",C310=0,F310=""),"",F310/C310)</f>
        <v/>
      </c>
      <c r="H310" s="34" t="n"/>
    </row>
    <row r="311">
      <c r="A311" s="45" t="n"/>
      <c r="B311" s="34" t="n"/>
      <c r="C311" s="34" t="n"/>
      <c r="D311" s="46">
        <f>IF(B311="","",IFERROR(INDEX(Products!$B$2:$B$101,MATCH(B311,Products!$A$2:$A$101,0)),"Unknown SKU"))</f>
        <v/>
      </c>
      <c r="E311" s="34" t="n"/>
      <c r="F311" s="36" t="n"/>
      <c r="G311" s="44">
        <f>IF(OR(C311="",C311=0,F311=""),"",F311/C311)</f>
        <v/>
      </c>
      <c r="H311" s="34" t="n"/>
    </row>
    <row r="312">
      <c r="A312" s="45" t="n"/>
      <c r="B312" s="34" t="n"/>
      <c r="C312" s="34" t="n"/>
      <c r="D312" s="46">
        <f>IF(B312="","",IFERROR(INDEX(Products!$B$2:$B$101,MATCH(B312,Products!$A$2:$A$101,0)),"Unknown SKU"))</f>
        <v/>
      </c>
      <c r="E312" s="34" t="n"/>
      <c r="F312" s="36" t="n"/>
      <c r="G312" s="44">
        <f>IF(OR(C312="",C312=0,F312=""),"",F312/C312)</f>
        <v/>
      </c>
      <c r="H312" s="34" t="n"/>
    </row>
    <row r="313">
      <c r="A313" s="45" t="n"/>
      <c r="B313" s="34" t="n"/>
      <c r="C313" s="34" t="n"/>
      <c r="D313" s="46">
        <f>IF(B313="","",IFERROR(INDEX(Products!$B$2:$B$101,MATCH(B313,Products!$A$2:$A$101,0)),"Unknown SKU"))</f>
        <v/>
      </c>
      <c r="E313" s="34" t="n"/>
      <c r="F313" s="36" t="n"/>
      <c r="G313" s="44">
        <f>IF(OR(C313="",C313=0,F313=""),"",F313/C313)</f>
        <v/>
      </c>
      <c r="H313" s="34" t="n"/>
    </row>
    <row r="314">
      <c r="A314" s="45" t="n"/>
      <c r="B314" s="34" t="n"/>
      <c r="C314" s="34" t="n"/>
      <c r="D314" s="46">
        <f>IF(B314="","",IFERROR(INDEX(Products!$B$2:$B$101,MATCH(B314,Products!$A$2:$A$101,0)),"Unknown SKU"))</f>
        <v/>
      </c>
      <c r="E314" s="34" t="n"/>
      <c r="F314" s="36" t="n"/>
      <c r="G314" s="44">
        <f>IF(OR(C314="",C314=0,F314=""),"",F314/C314)</f>
        <v/>
      </c>
      <c r="H314" s="34" t="n"/>
    </row>
    <row r="315">
      <c r="A315" s="45" t="n"/>
      <c r="B315" s="34" t="n"/>
      <c r="C315" s="34" t="n"/>
      <c r="D315" s="46">
        <f>IF(B315="","",IFERROR(INDEX(Products!$B$2:$B$101,MATCH(B315,Products!$A$2:$A$101,0)),"Unknown SKU"))</f>
        <v/>
      </c>
      <c r="E315" s="34" t="n"/>
      <c r="F315" s="36" t="n"/>
      <c r="G315" s="44">
        <f>IF(OR(C315="",C315=0,F315=""),"",F315/C315)</f>
        <v/>
      </c>
      <c r="H315" s="34" t="n"/>
    </row>
    <row r="316">
      <c r="A316" s="45" t="n"/>
      <c r="B316" s="34" t="n"/>
      <c r="C316" s="34" t="n"/>
      <c r="D316" s="46">
        <f>IF(B316="","",IFERROR(INDEX(Products!$B$2:$B$101,MATCH(B316,Products!$A$2:$A$101,0)),"Unknown SKU"))</f>
        <v/>
      </c>
      <c r="E316" s="34" t="n"/>
      <c r="F316" s="36" t="n"/>
      <c r="G316" s="44">
        <f>IF(OR(C316="",C316=0,F316=""),"",F316/C316)</f>
        <v/>
      </c>
      <c r="H316" s="34" t="n"/>
    </row>
    <row r="317">
      <c r="A317" s="45" t="n"/>
      <c r="B317" s="34" t="n"/>
      <c r="C317" s="34" t="n"/>
      <c r="D317" s="46">
        <f>IF(B317="","",IFERROR(INDEX(Products!$B$2:$B$101,MATCH(B317,Products!$A$2:$A$101,0)),"Unknown SKU"))</f>
        <v/>
      </c>
      <c r="E317" s="34" t="n"/>
      <c r="F317" s="36" t="n"/>
      <c r="G317" s="44">
        <f>IF(OR(C317="",C317=0,F317=""),"",F317/C317)</f>
        <v/>
      </c>
      <c r="H317" s="34" t="n"/>
    </row>
    <row r="318">
      <c r="A318" s="45" t="n"/>
      <c r="B318" s="34" t="n"/>
      <c r="C318" s="34" t="n"/>
      <c r="D318" s="46">
        <f>IF(B318="","",IFERROR(INDEX(Products!$B$2:$B$101,MATCH(B318,Products!$A$2:$A$101,0)),"Unknown SKU"))</f>
        <v/>
      </c>
      <c r="E318" s="34" t="n"/>
      <c r="F318" s="36" t="n"/>
      <c r="G318" s="44">
        <f>IF(OR(C318="",C318=0,F318=""),"",F318/C318)</f>
        <v/>
      </c>
      <c r="H318" s="34" t="n"/>
    </row>
    <row r="319">
      <c r="A319" s="45" t="n"/>
      <c r="B319" s="34" t="n"/>
      <c r="C319" s="34" t="n"/>
      <c r="D319" s="46">
        <f>IF(B319="","",IFERROR(INDEX(Products!$B$2:$B$101,MATCH(B319,Products!$A$2:$A$101,0)),"Unknown SKU"))</f>
        <v/>
      </c>
      <c r="E319" s="34" t="n"/>
      <c r="F319" s="36" t="n"/>
      <c r="G319" s="44">
        <f>IF(OR(C319="",C319=0,F319=""),"",F319/C319)</f>
        <v/>
      </c>
      <c r="H319" s="34" t="n"/>
    </row>
    <row r="320">
      <c r="A320" s="45" t="n"/>
      <c r="B320" s="34" t="n"/>
      <c r="C320" s="34" t="n"/>
      <c r="D320" s="46">
        <f>IF(B320="","",IFERROR(INDEX(Products!$B$2:$B$101,MATCH(B320,Products!$A$2:$A$101,0)),"Unknown SKU"))</f>
        <v/>
      </c>
      <c r="E320" s="34" t="n"/>
      <c r="F320" s="36" t="n"/>
      <c r="G320" s="44">
        <f>IF(OR(C320="",C320=0,F320=""),"",F320/C320)</f>
        <v/>
      </c>
      <c r="H320" s="34" t="n"/>
    </row>
    <row r="321">
      <c r="A321" s="45" t="n"/>
      <c r="B321" s="34" t="n"/>
      <c r="C321" s="34" t="n"/>
      <c r="D321" s="46">
        <f>IF(B321="","",IFERROR(INDEX(Products!$B$2:$B$101,MATCH(B321,Products!$A$2:$A$101,0)),"Unknown SKU"))</f>
        <v/>
      </c>
      <c r="E321" s="34" t="n"/>
      <c r="F321" s="36" t="n"/>
      <c r="G321" s="44">
        <f>IF(OR(C321="",C321=0,F321=""),"",F321/C321)</f>
        <v/>
      </c>
      <c r="H321" s="34" t="n"/>
    </row>
    <row r="322">
      <c r="A322" s="45" t="n"/>
      <c r="B322" s="34" t="n"/>
      <c r="C322" s="34" t="n"/>
      <c r="D322" s="46">
        <f>IF(B322="","",IFERROR(INDEX(Products!$B$2:$B$101,MATCH(B322,Products!$A$2:$A$101,0)),"Unknown SKU"))</f>
        <v/>
      </c>
      <c r="E322" s="34" t="n"/>
      <c r="F322" s="36" t="n"/>
      <c r="G322" s="44">
        <f>IF(OR(C322="",C322=0,F322=""),"",F322/C322)</f>
        <v/>
      </c>
      <c r="H322" s="34" t="n"/>
    </row>
    <row r="323">
      <c r="A323" s="45" t="n"/>
      <c r="B323" s="34" t="n"/>
      <c r="C323" s="34" t="n"/>
      <c r="D323" s="46">
        <f>IF(B323="","",IFERROR(INDEX(Products!$B$2:$B$101,MATCH(B323,Products!$A$2:$A$101,0)),"Unknown SKU"))</f>
        <v/>
      </c>
      <c r="E323" s="34" t="n"/>
      <c r="F323" s="36" t="n"/>
      <c r="G323" s="44">
        <f>IF(OR(C323="",C323=0,F323=""),"",F323/C323)</f>
        <v/>
      </c>
      <c r="H323" s="34" t="n"/>
    </row>
    <row r="324">
      <c r="A324" s="45" t="n"/>
      <c r="B324" s="34" t="n"/>
      <c r="C324" s="34" t="n"/>
      <c r="D324" s="46">
        <f>IF(B324="","",IFERROR(INDEX(Products!$B$2:$B$101,MATCH(B324,Products!$A$2:$A$101,0)),"Unknown SKU"))</f>
        <v/>
      </c>
      <c r="E324" s="34" t="n"/>
      <c r="F324" s="36" t="n"/>
      <c r="G324" s="44">
        <f>IF(OR(C324="",C324=0,F324=""),"",F324/C324)</f>
        <v/>
      </c>
      <c r="H324" s="34" t="n"/>
    </row>
    <row r="325">
      <c r="A325" s="45" t="n"/>
      <c r="B325" s="34" t="n"/>
      <c r="C325" s="34" t="n"/>
      <c r="D325" s="46">
        <f>IF(B325="","",IFERROR(INDEX(Products!$B$2:$B$101,MATCH(B325,Products!$A$2:$A$101,0)),"Unknown SKU"))</f>
        <v/>
      </c>
      <c r="E325" s="34" t="n"/>
      <c r="F325" s="36" t="n"/>
      <c r="G325" s="44">
        <f>IF(OR(C325="",C325=0,F325=""),"",F325/C325)</f>
        <v/>
      </c>
      <c r="H325" s="34" t="n"/>
    </row>
    <row r="326">
      <c r="A326" s="45" t="n"/>
      <c r="B326" s="34" t="n"/>
      <c r="C326" s="34" t="n"/>
      <c r="D326" s="46">
        <f>IF(B326="","",IFERROR(INDEX(Products!$B$2:$B$101,MATCH(B326,Products!$A$2:$A$101,0)),"Unknown SKU"))</f>
        <v/>
      </c>
      <c r="E326" s="34" t="n"/>
      <c r="F326" s="36" t="n"/>
      <c r="G326" s="44">
        <f>IF(OR(C326="",C326=0,F326=""),"",F326/C326)</f>
        <v/>
      </c>
      <c r="H326" s="34" t="n"/>
    </row>
    <row r="327">
      <c r="A327" s="45" t="n"/>
      <c r="B327" s="34" t="n"/>
      <c r="C327" s="34" t="n"/>
      <c r="D327" s="46">
        <f>IF(B327="","",IFERROR(INDEX(Products!$B$2:$B$101,MATCH(B327,Products!$A$2:$A$101,0)),"Unknown SKU"))</f>
        <v/>
      </c>
      <c r="E327" s="34" t="n"/>
      <c r="F327" s="36" t="n"/>
      <c r="G327" s="44">
        <f>IF(OR(C327="",C327=0,F327=""),"",F327/C327)</f>
        <v/>
      </c>
      <c r="H327" s="34" t="n"/>
    </row>
    <row r="328">
      <c r="A328" s="45" t="n"/>
      <c r="B328" s="34" t="n"/>
      <c r="C328" s="34" t="n"/>
      <c r="D328" s="46">
        <f>IF(B328="","",IFERROR(INDEX(Products!$B$2:$B$101,MATCH(B328,Products!$A$2:$A$101,0)),"Unknown SKU"))</f>
        <v/>
      </c>
      <c r="E328" s="34" t="n"/>
      <c r="F328" s="36" t="n"/>
      <c r="G328" s="44">
        <f>IF(OR(C328="",C328=0,F328=""),"",F328/C328)</f>
        <v/>
      </c>
      <c r="H328" s="34" t="n"/>
    </row>
    <row r="329">
      <c r="A329" s="45" t="n"/>
      <c r="B329" s="34" t="n"/>
      <c r="C329" s="34" t="n"/>
      <c r="D329" s="46">
        <f>IF(B329="","",IFERROR(INDEX(Products!$B$2:$B$101,MATCH(B329,Products!$A$2:$A$101,0)),"Unknown SKU"))</f>
        <v/>
      </c>
      <c r="E329" s="34" t="n"/>
      <c r="F329" s="36" t="n"/>
      <c r="G329" s="44">
        <f>IF(OR(C329="",C329=0,F329=""),"",F329/C329)</f>
        <v/>
      </c>
      <c r="H329" s="34" t="n"/>
    </row>
    <row r="330">
      <c r="A330" s="45" t="n"/>
      <c r="B330" s="34" t="n"/>
      <c r="C330" s="34" t="n"/>
      <c r="D330" s="46">
        <f>IF(B330="","",IFERROR(INDEX(Products!$B$2:$B$101,MATCH(B330,Products!$A$2:$A$101,0)),"Unknown SKU"))</f>
        <v/>
      </c>
      <c r="E330" s="34" t="n"/>
      <c r="F330" s="36" t="n"/>
      <c r="G330" s="44">
        <f>IF(OR(C330="",C330=0,F330=""),"",F330/C330)</f>
        <v/>
      </c>
      <c r="H330" s="34" t="n"/>
    </row>
    <row r="331">
      <c r="A331" s="45" t="n"/>
      <c r="B331" s="34" t="n"/>
      <c r="C331" s="34" t="n"/>
      <c r="D331" s="46">
        <f>IF(B331="","",IFERROR(INDEX(Products!$B$2:$B$101,MATCH(B331,Products!$A$2:$A$101,0)),"Unknown SKU"))</f>
        <v/>
      </c>
      <c r="E331" s="34" t="n"/>
      <c r="F331" s="36" t="n"/>
      <c r="G331" s="44">
        <f>IF(OR(C331="",C331=0,F331=""),"",F331/C331)</f>
        <v/>
      </c>
      <c r="H331" s="34" t="n"/>
    </row>
    <row r="332">
      <c r="A332" s="45" t="n"/>
      <c r="B332" s="34" t="n"/>
      <c r="C332" s="34" t="n"/>
      <c r="D332" s="46">
        <f>IF(B332="","",IFERROR(INDEX(Products!$B$2:$B$101,MATCH(B332,Products!$A$2:$A$101,0)),"Unknown SKU"))</f>
        <v/>
      </c>
      <c r="E332" s="34" t="n"/>
      <c r="F332" s="36" t="n"/>
      <c r="G332" s="44">
        <f>IF(OR(C332="",C332=0,F332=""),"",F332/C332)</f>
        <v/>
      </c>
      <c r="H332" s="34" t="n"/>
    </row>
    <row r="333">
      <c r="A333" s="45" t="n"/>
      <c r="B333" s="34" t="n"/>
      <c r="C333" s="34" t="n"/>
      <c r="D333" s="46">
        <f>IF(B333="","",IFERROR(INDEX(Products!$B$2:$B$101,MATCH(B333,Products!$A$2:$A$101,0)),"Unknown SKU"))</f>
        <v/>
      </c>
      <c r="E333" s="34" t="n"/>
      <c r="F333" s="36" t="n"/>
      <c r="G333" s="44">
        <f>IF(OR(C333="",C333=0,F333=""),"",F333/C333)</f>
        <v/>
      </c>
      <c r="H333" s="34" t="n"/>
    </row>
    <row r="334">
      <c r="A334" s="45" t="n"/>
      <c r="B334" s="34" t="n"/>
      <c r="C334" s="34" t="n"/>
      <c r="D334" s="46">
        <f>IF(B334="","",IFERROR(INDEX(Products!$B$2:$B$101,MATCH(B334,Products!$A$2:$A$101,0)),"Unknown SKU"))</f>
        <v/>
      </c>
      <c r="E334" s="34" t="n"/>
      <c r="F334" s="36" t="n"/>
      <c r="G334" s="44">
        <f>IF(OR(C334="",C334=0,F334=""),"",F334/C334)</f>
        <v/>
      </c>
      <c r="H334" s="34" t="n"/>
    </row>
    <row r="335">
      <c r="A335" s="45" t="n"/>
      <c r="B335" s="34" t="n"/>
      <c r="C335" s="34" t="n"/>
      <c r="D335" s="46">
        <f>IF(B335="","",IFERROR(INDEX(Products!$B$2:$B$101,MATCH(B335,Products!$A$2:$A$101,0)),"Unknown SKU"))</f>
        <v/>
      </c>
      <c r="E335" s="34" t="n"/>
      <c r="F335" s="36" t="n"/>
      <c r="G335" s="44">
        <f>IF(OR(C335="",C335=0,F335=""),"",F335/C335)</f>
        <v/>
      </c>
      <c r="H335" s="34" t="n"/>
    </row>
    <row r="336">
      <c r="A336" s="45" t="n"/>
      <c r="B336" s="34" t="n"/>
      <c r="C336" s="34" t="n"/>
      <c r="D336" s="46">
        <f>IF(B336="","",IFERROR(INDEX(Products!$B$2:$B$101,MATCH(B336,Products!$A$2:$A$101,0)),"Unknown SKU"))</f>
        <v/>
      </c>
      <c r="E336" s="34" t="n"/>
      <c r="F336" s="36" t="n"/>
      <c r="G336" s="44">
        <f>IF(OR(C336="",C336=0,F336=""),"",F336/C336)</f>
        <v/>
      </c>
      <c r="H336" s="34" t="n"/>
    </row>
    <row r="337">
      <c r="A337" s="45" t="n"/>
      <c r="B337" s="34" t="n"/>
      <c r="C337" s="34" t="n"/>
      <c r="D337" s="46">
        <f>IF(B337="","",IFERROR(INDEX(Products!$B$2:$B$101,MATCH(B337,Products!$A$2:$A$101,0)),"Unknown SKU"))</f>
        <v/>
      </c>
      <c r="E337" s="34" t="n"/>
      <c r="F337" s="36" t="n"/>
      <c r="G337" s="44">
        <f>IF(OR(C337="",C337=0,F337=""),"",F337/C337)</f>
        <v/>
      </c>
      <c r="H337" s="34" t="n"/>
    </row>
    <row r="338">
      <c r="A338" s="45" t="n"/>
      <c r="B338" s="34" t="n"/>
      <c r="C338" s="34" t="n"/>
      <c r="D338" s="46">
        <f>IF(B338="","",IFERROR(INDEX(Products!$B$2:$B$101,MATCH(B338,Products!$A$2:$A$101,0)),"Unknown SKU"))</f>
        <v/>
      </c>
      <c r="E338" s="34" t="n"/>
      <c r="F338" s="36" t="n"/>
      <c r="G338" s="44">
        <f>IF(OR(C338="",C338=0,F338=""),"",F338/C338)</f>
        <v/>
      </c>
      <c r="H338" s="34" t="n"/>
    </row>
    <row r="339">
      <c r="A339" s="45" t="n"/>
      <c r="B339" s="34" t="n"/>
      <c r="C339" s="34" t="n"/>
      <c r="D339" s="46">
        <f>IF(B339="","",IFERROR(INDEX(Products!$B$2:$B$101,MATCH(B339,Products!$A$2:$A$101,0)),"Unknown SKU"))</f>
        <v/>
      </c>
      <c r="E339" s="34" t="n"/>
      <c r="F339" s="36" t="n"/>
      <c r="G339" s="44">
        <f>IF(OR(C339="",C339=0,F339=""),"",F339/C339)</f>
        <v/>
      </c>
      <c r="H339" s="34" t="n"/>
    </row>
    <row r="340">
      <c r="A340" s="45" t="n"/>
      <c r="B340" s="34" t="n"/>
      <c r="C340" s="34" t="n"/>
      <c r="D340" s="46">
        <f>IF(B340="","",IFERROR(INDEX(Products!$B$2:$B$101,MATCH(B340,Products!$A$2:$A$101,0)),"Unknown SKU"))</f>
        <v/>
      </c>
      <c r="E340" s="34" t="n"/>
      <c r="F340" s="36" t="n"/>
      <c r="G340" s="44">
        <f>IF(OR(C340="",C340=0,F340=""),"",F340/C340)</f>
        <v/>
      </c>
      <c r="H340" s="34" t="n"/>
    </row>
    <row r="341">
      <c r="A341" s="45" t="n"/>
      <c r="B341" s="34" t="n"/>
      <c r="C341" s="34" t="n"/>
      <c r="D341" s="46">
        <f>IF(B341="","",IFERROR(INDEX(Products!$B$2:$B$101,MATCH(B341,Products!$A$2:$A$101,0)),"Unknown SKU"))</f>
        <v/>
      </c>
      <c r="E341" s="34" t="n"/>
      <c r="F341" s="36" t="n"/>
      <c r="G341" s="44">
        <f>IF(OR(C341="",C341=0,F341=""),"",F341/C341)</f>
        <v/>
      </c>
      <c r="H341" s="34" t="n"/>
    </row>
    <row r="342">
      <c r="A342" s="45" t="n"/>
      <c r="B342" s="34" t="n"/>
      <c r="C342" s="34" t="n"/>
      <c r="D342" s="46">
        <f>IF(B342="","",IFERROR(INDEX(Products!$B$2:$B$101,MATCH(B342,Products!$A$2:$A$101,0)),"Unknown SKU"))</f>
        <v/>
      </c>
      <c r="E342" s="34" t="n"/>
      <c r="F342" s="36" t="n"/>
      <c r="G342" s="44">
        <f>IF(OR(C342="",C342=0,F342=""),"",F342/C342)</f>
        <v/>
      </c>
      <c r="H342" s="34" t="n"/>
    </row>
    <row r="343">
      <c r="A343" s="45" t="n"/>
      <c r="B343" s="34" t="n"/>
      <c r="C343" s="34" t="n"/>
      <c r="D343" s="46">
        <f>IF(B343="","",IFERROR(INDEX(Products!$B$2:$B$101,MATCH(B343,Products!$A$2:$A$101,0)),"Unknown SKU"))</f>
        <v/>
      </c>
      <c r="E343" s="34" t="n"/>
      <c r="F343" s="36" t="n"/>
      <c r="G343" s="44">
        <f>IF(OR(C343="",C343=0,F343=""),"",F343/C343)</f>
        <v/>
      </c>
      <c r="H343" s="34" t="n"/>
    </row>
    <row r="344">
      <c r="A344" s="45" t="n"/>
      <c r="B344" s="34" t="n"/>
      <c r="C344" s="34" t="n"/>
      <c r="D344" s="46">
        <f>IF(B344="","",IFERROR(INDEX(Products!$B$2:$B$101,MATCH(B344,Products!$A$2:$A$101,0)),"Unknown SKU"))</f>
        <v/>
      </c>
      <c r="E344" s="34" t="n"/>
      <c r="F344" s="36" t="n"/>
      <c r="G344" s="44">
        <f>IF(OR(C344="",C344=0,F344=""),"",F344/C344)</f>
        <v/>
      </c>
      <c r="H344" s="34" t="n"/>
    </row>
    <row r="345">
      <c r="A345" s="45" t="n"/>
      <c r="B345" s="34" t="n"/>
      <c r="C345" s="34" t="n"/>
      <c r="D345" s="46">
        <f>IF(B345="","",IFERROR(INDEX(Products!$B$2:$B$101,MATCH(B345,Products!$A$2:$A$101,0)),"Unknown SKU"))</f>
        <v/>
      </c>
      <c r="E345" s="34" t="n"/>
      <c r="F345" s="36" t="n"/>
      <c r="G345" s="44">
        <f>IF(OR(C345="",C345=0,F345=""),"",F345/C345)</f>
        <v/>
      </c>
      <c r="H345" s="34" t="n"/>
    </row>
    <row r="346">
      <c r="A346" s="45" t="n"/>
      <c r="B346" s="34" t="n"/>
      <c r="C346" s="34" t="n"/>
      <c r="D346" s="46">
        <f>IF(B346="","",IFERROR(INDEX(Products!$B$2:$B$101,MATCH(B346,Products!$A$2:$A$101,0)),"Unknown SKU"))</f>
        <v/>
      </c>
      <c r="E346" s="34" t="n"/>
      <c r="F346" s="36" t="n"/>
      <c r="G346" s="44">
        <f>IF(OR(C346="",C346=0,F346=""),"",F346/C346)</f>
        <v/>
      </c>
      <c r="H346" s="34" t="n"/>
    </row>
    <row r="347">
      <c r="A347" s="45" t="n"/>
      <c r="B347" s="34" t="n"/>
      <c r="C347" s="34" t="n"/>
      <c r="D347" s="46">
        <f>IF(B347="","",IFERROR(INDEX(Products!$B$2:$B$101,MATCH(B347,Products!$A$2:$A$101,0)),"Unknown SKU"))</f>
        <v/>
      </c>
      <c r="E347" s="34" t="n"/>
      <c r="F347" s="36" t="n"/>
      <c r="G347" s="44">
        <f>IF(OR(C347="",C347=0,F347=""),"",F347/C347)</f>
        <v/>
      </c>
      <c r="H347" s="34" t="n"/>
    </row>
    <row r="348">
      <c r="A348" s="45" t="n"/>
      <c r="B348" s="34" t="n"/>
      <c r="C348" s="34" t="n"/>
      <c r="D348" s="46">
        <f>IF(B348="","",IFERROR(INDEX(Products!$B$2:$B$101,MATCH(B348,Products!$A$2:$A$101,0)),"Unknown SKU"))</f>
        <v/>
      </c>
      <c r="E348" s="34" t="n"/>
      <c r="F348" s="36" t="n"/>
      <c r="G348" s="44">
        <f>IF(OR(C348="",C348=0,F348=""),"",F348/C348)</f>
        <v/>
      </c>
      <c r="H348" s="34" t="n"/>
    </row>
    <row r="349">
      <c r="A349" s="45" t="n"/>
      <c r="B349" s="34" t="n"/>
      <c r="C349" s="34" t="n"/>
      <c r="D349" s="46">
        <f>IF(B349="","",IFERROR(INDEX(Products!$B$2:$B$101,MATCH(B349,Products!$A$2:$A$101,0)),"Unknown SKU"))</f>
        <v/>
      </c>
      <c r="E349" s="34" t="n"/>
      <c r="F349" s="36" t="n"/>
      <c r="G349" s="44">
        <f>IF(OR(C349="",C349=0,F349=""),"",F349/C349)</f>
        <v/>
      </c>
      <c r="H349" s="34" t="n"/>
    </row>
    <row r="350">
      <c r="A350" s="45" t="n"/>
      <c r="B350" s="34" t="n"/>
      <c r="C350" s="34" t="n"/>
      <c r="D350" s="46">
        <f>IF(B350="","",IFERROR(INDEX(Products!$B$2:$B$101,MATCH(B350,Products!$A$2:$A$101,0)),"Unknown SKU"))</f>
        <v/>
      </c>
      <c r="E350" s="34" t="n"/>
      <c r="F350" s="36" t="n"/>
      <c r="G350" s="44">
        <f>IF(OR(C350="",C350=0,F350=""),"",F350/C350)</f>
        <v/>
      </c>
      <c r="H350" s="34" t="n"/>
    </row>
    <row r="351">
      <c r="A351" s="45" t="n"/>
      <c r="B351" s="34" t="n"/>
      <c r="C351" s="34" t="n"/>
      <c r="D351" s="46">
        <f>IF(B351="","",IFERROR(INDEX(Products!$B$2:$B$101,MATCH(B351,Products!$A$2:$A$101,0)),"Unknown SKU"))</f>
        <v/>
      </c>
      <c r="E351" s="34" t="n"/>
      <c r="F351" s="36" t="n"/>
      <c r="G351" s="44">
        <f>IF(OR(C351="",C351=0,F351=""),"",F351/C351)</f>
        <v/>
      </c>
      <c r="H351" s="34" t="n"/>
    </row>
    <row r="352">
      <c r="A352" s="45" t="n"/>
      <c r="B352" s="34" t="n"/>
      <c r="C352" s="34" t="n"/>
      <c r="D352" s="46">
        <f>IF(B352="","",IFERROR(INDEX(Products!$B$2:$B$101,MATCH(B352,Products!$A$2:$A$101,0)),"Unknown SKU"))</f>
        <v/>
      </c>
      <c r="E352" s="34" t="n"/>
      <c r="F352" s="36" t="n"/>
      <c r="G352" s="44">
        <f>IF(OR(C352="",C352=0,F352=""),"",F352/C352)</f>
        <v/>
      </c>
      <c r="H352" s="34" t="n"/>
    </row>
    <row r="353">
      <c r="A353" s="45" t="n"/>
      <c r="B353" s="34" t="n"/>
      <c r="C353" s="34" t="n"/>
      <c r="D353" s="46">
        <f>IF(B353="","",IFERROR(INDEX(Products!$B$2:$B$101,MATCH(B353,Products!$A$2:$A$101,0)),"Unknown SKU"))</f>
        <v/>
      </c>
      <c r="E353" s="34" t="n"/>
      <c r="F353" s="36" t="n"/>
      <c r="G353" s="44">
        <f>IF(OR(C353="",C353=0,F353=""),"",F353/C353)</f>
        <v/>
      </c>
      <c r="H353" s="34" t="n"/>
    </row>
    <row r="354">
      <c r="A354" s="45" t="n"/>
      <c r="B354" s="34" t="n"/>
      <c r="C354" s="34" t="n"/>
      <c r="D354" s="46">
        <f>IF(B354="","",IFERROR(INDEX(Products!$B$2:$B$101,MATCH(B354,Products!$A$2:$A$101,0)),"Unknown SKU"))</f>
        <v/>
      </c>
      <c r="E354" s="34" t="n"/>
      <c r="F354" s="36" t="n"/>
      <c r="G354" s="44">
        <f>IF(OR(C354="",C354=0,F354=""),"",F354/C354)</f>
        <v/>
      </c>
      <c r="H354" s="34" t="n"/>
    </row>
    <row r="355">
      <c r="A355" s="45" t="n"/>
      <c r="B355" s="34" t="n"/>
      <c r="C355" s="34" t="n"/>
      <c r="D355" s="46">
        <f>IF(B355="","",IFERROR(INDEX(Products!$B$2:$B$101,MATCH(B355,Products!$A$2:$A$101,0)),"Unknown SKU"))</f>
        <v/>
      </c>
      <c r="E355" s="34" t="n"/>
      <c r="F355" s="36" t="n"/>
      <c r="G355" s="44">
        <f>IF(OR(C355="",C355=0,F355=""),"",F355/C355)</f>
        <v/>
      </c>
      <c r="H355" s="34" t="n"/>
    </row>
    <row r="356">
      <c r="A356" s="45" t="n"/>
      <c r="B356" s="34" t="n"/>
      <c r="C356" s="34" t="n"/>
      <c r="D356" s="46">
        <f>IF(B356="","",IFERROR(INDEX(Products!$B$2:$B$101,MATCH(B356,Products!$A$2:$A$101,0)),"Unknown SKU"))</f>
        <v/>
      </c>
      <c r="E356" s="34" t="n"/>
      <c r="F356" s="36" t="n"/>
      <c r="G356" s="44">
        <f>IF(OR(C356="",C356=0,F356=""),"",F356/C356)</f>
        <v/>
      </c>
      <c r="H356" s="34" t="n"/>
    </row>
    <row r="357">
      <c r="A357" s="45" t="n"/>
      <c r="B357" s="34" t="n"/>
      <c r="C357" s="34" t="n"/>
      <c r="D357" s="46">
        <f>IF(B357="","",IFERROR(INDEX(Products!$B$2:$B$101,MATCH(B357,Products!$A$2:$A$101,0)),"Unknown SKU"))</f>
        <v/>
      </c>
      <c r="E357" s="34" t="n"/>
      <c r="F357" s="36" t="n"/>
      <c r="G357" s="44">
        <f>IF(OR(C357="",C357=0,F357=""),"",F357/C357)</f>
        <v/>
      </c>
      <c r="H357" s="34" t="n"/>
    </row>
    <row r="358">
      <c r="A358" s="45" t="n"/>
      <c r="B358" s="34" t="n"/>
      <c r="C358" s="34" t="n"/>
      <c r="D358" s="46">
        <f>IF(B358="","",IFERROR(INDEX(Products!$B$2:$B$101,MATCH(B358,Products!$A$2:$A$101,0)),"Unknown SKU"))</f>
        <v/>
      </c>
      <c r="E358" s="34" t="n"/>
      <c r="F358" s="36" t="n"/>
      <c r="G358" s="44">
        <f>IF(OR(C358="",C358=0,F358=""),"",F358/C358)</f>
        <v/>
      </c>
      <c r="H358" s="34" t="n"/>
    </row>
    <row r="359">
      <c r="A359" s="45" t="n"/>
      <c r="B359" s="34" t="n"/>
      <c r="C359" s="34" t="n"/>
      <c r="D359" s="46">
        <f>IF(B359="","",IFERROR(INDEX(Products!$B$2:$B$101,MATCH(B359,Products!$A$2:$A$101,0)),"Unknown SKU"))</f>
        <v/>
      </c>
      <c r="E359" s="34" t="n"/>
      <c r="F359" s="36" t="n"/>
      <c r="G359" s="44">
        <f>IF(OR(C359="",C359=0,F359=""),"",F359/C359)</f>
        <v/>
      </c>
      <c r="H359" s="34" t="n"/>
    </row>
    <row r="360">
      <c r="A360" s="45" t="n"/>
      <c r="B360" s="34" t="n"/>
      <c r="C360" s="34" t="n"/>
      <c r="D360" s="46">
        <f>IF(B360="","",IFERROR(INDEX(Products!$B$2:$B$101,MATCH(B360,Products!$A$2:$A$101,0)),"Unknown SKU"))</f>
        <v/>
      </c>
      <c r="E360" s="34" t="n"/>
      <c r="F360" s="36" t="n"/>
      <c r="G360" s="44">
        <f>IF(OR(C360="",C360=0,F360=""),"",F360/C360)</f>
        <v/>
      </c>
      <c r="H360" s="34" t="n"/>
    </row>
    <row r="361">
      <c r="A361" s="45" t="n"/>
      <c r="B361" s="34" t="n"/>
      <c r="C361" s="34" t="n"/>
      <c r="D361" s="46">
        <f>IF(B361="","",IFERROR(INDEX(Products!$B$2:$B$101,MATCH(B361,Products!$A$2:$A$101,0)),"Unknown SKU"))</f>
        <v/>
      </c>
      <c r="E361" s="34" t="n"/>
      <c r="F361" s="36" t="n"/>
      <c r="G361" s="44">
        <f>IF(OR(C361="",C361=0,F361=""),"",F361/C361)</f>
        <v/>
      </c>
      <c r="H361" s="34" t="n"/>
    </row>
    <row r="362">
      <c r="A362" s="45" t="n"/>
      <c r="B362" s="34" t="n"/>
      <c r="C362" s="34" t="n"/>
      <c r="D362" s="46">
        <f>IF(B362="","",IFERROR(INDEX(Products!$B$2:$B$101,MATCH(B362,Products!$A$2:$A$101,0)),"Unknown SKU"))</f>
        <v/>
      </c>
      <c r="E362" s="34" t="n"/>
      <c r="F362" s="36" t="n"/>
      <c r="G362" s="44">
        <f>IF(OR(C362="",C362=0,F362=""),"",F362/C362)</f>
        <v/>
      </c>
      <c r="H362" s="34" t="n"/>
    </row>
    <row r="363">
      <c r="A363" s="45" t="n"/>
      <c r="B363" s="34" t="n"/>
      <c r="C363" s="34" t="n"/>
      <c r="D363" s="46">
        <f>IF(B363="","",IFERROR(INDEX(Products!$B$2:$B$101,MATCH(B363,Products!$A$2:$A$101,0)),"Unknown SKU"))</f>
        <v/>
      </c>
      <c r="E363" s="34" t="n"/>
      <c r="F363" s="36" t="n"/>
      <c r="G363" s="44">
        <f>IF(OR(C363="",C363=0,F363=""),"",F363/C363)</f>
        <v/>
      </c>
      <c r="H363" s="34" t="n"/>
    </row>
    <row r="364">
      <c r="A364" s="45" t="n"/>
      <c r="B364" s="34" t="n"/>
      <c r="C364" s="34" t="n"/>
      <c r="D364" s="46">
        <f>IF(B364="","",IFERROR(INDEX(Products!$B$2:$B$101,MATCH(B364,Products!$A$2:$A$101,0)),"Unknown SKU"))</f>
        <v/>
      </c>
      <c r="E364" s="34" t="n"/>
      <c r="F364" s="36" t="n"/>
      <c r="G364" s="44">
        <f>IF(OR(C364="",C364=0,F364=""),"",F364/C364)</f>
        <v/>
      </c>
      <c r="H364" s="34" t="n"/>
    </row>
    <row r="365">
      <c r="A365" s="45" t="n"/>
      <c r="B365" s="34" t="n"/>
      <c r="C365" s="34" t="n"/>
      <c r="D365" s="46">
        <f>IF(B365="","",IFERROR(INDEX(Products!$B$2:$B$101,MATCH(B365,Products!$A$2:$A$101,0)),"Unknown SKU"))</f>
        <v/>
      </c>
      <c r="E365" s="34" t="n"/>
      <c r="F365" s="36" t="n"/>
      <c r="G365" s="44">
        <f>IF(OR(C365="",C365=0,F365=""),"",F365/C365)</f>
        <v/>
      </c>
      <c r="H365" s="34" t="n"/>
    </row>
    <row r="366">
      <c r="A366" s="45" t="n"/>
      <c r="B366" s="34" t="n"/>
      <c r="C366" s="34" t="n"/>
      <c r="D366" s="46">
        <f>IF(B366="","",IFERROR(INDEX(Products!$B$2:$B$101,MATCH(B366,Products!$A$2:$A$101,0)),"Unknown SKU"))</f>
        <v/>
      </c>
      <c r="E366" s="34" t="n"/>
      <c r="F366" s="36" t="n"/>
      <c r="G366" s="44">
        <f>IF(OR(C366="",C366=0,F366=""),"",F366/C366)</f>
        <v/>
      </c>
      <c r="H366" s="34" t="n"/>
    </row>
    <row r="367">
      <c r="A367" s="45" t="n"/>
      <c r="B367" s="34" t="n"/>
      <c r="C367" s="34" t="n"/>
      <c r="D367" s="46">
        <f>IF(B367="","",IFERROR(INDEX(Products!$B$2:$B$101,MATCH(B367,Products!$A$2:$A$101,0)),"Unknown SKU"))</f>
        <v/>
      </c>
      <c r="E367" s="34" t="n"/>
      <c r="F367" s="36" t="n"/>
      <c r="G367" s="44">
        <f>IF(OR(C367="",C367=0,F367=""),"",F367/C367)</f>
        <v/>
      </c>
      <c r="H367" s="34" t="n"/>
    </row>
    <row r="368">
      <c r="A368" s="45" t="n"/>
      <c r="B368" s="34" t="n"/>
      <c r="C368" s="34" t="n"/>
      <c r="D368" s="46">
        <f>IF(B368="","",IFERROR(INDEX(Products!$B$2:$B$101,MATCH(B368,Products!$A$2:$A$101,0)),"Unknown SKU"))</f>
        <v/>
      </c>
      <c r="E368" s="34" t="n"/>
      <c r="F368" s="36" t="n"/>
      <c r="G368" s="44">
        <f>IF(OR(C368="",C368=0,F368=""),"",F368/C368)</f>
        <v/>
      </c>
      <c r="H368" s="34" t="n"/>
    </row>
    <row r="369">
      <c r="A369" s="45" t="n"/>
      <c r="B369" s="34" t="n"/>
      <c r="C369" s="34" t="n"/>
      <c r="D369" s="46">
        <f>IF(B369="","",IFERROR(INDEX(Products!$B$2:$B$101,MATCH(B369,Products!$A$2:$A$101,0)),"Unknown SKU"))</f>
        <v/>
      </c>
      <c r="E369" s="34" t="n"/>
      <c r="F369" s="36" t="n"/>
      <c r="G369" s="44">
        <f>IF(OR(C369="",C369=0,F369=""),"",F369/C369)</f>
        <v/>
      </c>
      <c r="H369" s="34" t="n"/>
    </row>
    <row r="370">
      <c r="A370" s="45" t="n"/>
      <c r="B370" s="34" t="n"/>
      <c r="C370" s="34" t="n"/>
      <c r="D370" s="46">
        <f>IF(B370="","",IFERROR(INDEX(Products!$B$2:$B$101,MATCH(B370,Products!$A$2:$A$101,0)),"Unknown SKU"))</f>
        <v/>
      </c>
      <c r="E370" s="34" t="n"/>
      <c r="F370" s="36" t="n"/>
      <c r="G370" s="44">
        <f>IF(OR(C370="",C370=0,F370=""),"",F370/C370)</f>
        <v/>
      </c>
      <c r="H370" s="34" t="n"/>
    </row>
    <row r="371">
      <c r="A371" s="45" t="n"/>
      <c r="B371" s="34" t="n"/>
      <c r="C371" s="34" t="n"/>
      <c r="D371" s="46">
        <f>IF(B371="","",IFERROR(INDEX(Products!$B$2:$B$101,MATCH(B371,Products!$A$2:$A$101,0)),"Unknown SKU"))</f>
        <v/>
      </c>
      <c r="E371" s="34" t="n"/>
      <c r="F371" s="36" t="n"/>
      <c r="G371" s="44">
        <f>IF(OR(C371="",C371=0,F371=""),"",F371/C371)</f>
        <v/>
      </c>
      <c r="H371" s="34" t="n"/>
    </row>
    <row r="372">
      <c r="A372" s="45" t="n"/>
      <c r="B372" s="34" t="n"/>
      <c r="C372" s="34" t="n"/>
      <c r="D372" s="46">
        <f>IF(B372="","",IFERROR(INDEX(Products!$B$2:$B$101,MATCH(B372,Products!$A$2:$A$101,0)),"Unknown SKU"))</f>
        <v/>
      </c>
      <c r="E372" s="34" t="n"/>
      <c r="F372" s="36" t="n"/>
      <c r="G372" s="44">
        <f>IF(OR(C372="",C372=0,F372=""),"",F372/C372)</f>
        <v/>
      </c>
      <c r="H372" s="34" t="n"/>
    </row>
    <row r="373">
      <c r="A373" s="45" t="n"/>
      <c r="B373" s="34" t="n"/>
      <c r="C373" s="34" t="n"/>
      <c r="D373" s="46">
        <f>IF(B373="","",IFERROR(INDEX(Products!$B$2:$B$101,MATCH(B373,Products!$A$2:$A$101,0)),"Unknown SKU"))</f>
        <v/>
      </c>
      <c r="E373" s="34" t="n"/>
      <c r="F373" s="36" t="n"/>
      <c r="G373" s="44">
        <f>IF(OR(C373="",C373=0,F373=""),"",F373/C373)</f>
        <v/>
      </c>
      <c r="H373" s="34" t="n"/>
    </row>
    <row r="374">
      <c r="A374" s="45" t="n"/>
      <c r="B374" s="34" t="n"/>
      <c r="C374" s="34" t="n"/>
      <c r="D374" s="46">
        <f>IF(B374="","",IFERROR(INDEX(Products!$B$2:$B$101,MATCH(B374,Products!$A$2:$A$101,0)),"Unknown SKU"))</f>
        <v/>
      </c>
      <c r="E374" s="34" t="n"/>
      <c r="F374" s="36" t="n"/>
      <c r="G374" s="44">
        <f>IF(OR(C374="",C374=0,F374=""),"",F374/C374)</f>
        <v/>
      </c>
      <c r="H374" s="34" t="n"/>
    </row>
    <row r="375">
      <c r="A375" s="45" t="n"/>
      <c r="B375" s="34" t="n"/>
      <c r="C375" s="34" t="n"/>
      <c r="D375" s="46">
        <f>IF(B375="","",IFERROR(INDEX(Products!$B$2:$B$101,MATCH(B375,Products!$A$2:$A$101,0)),"Unknown SKU"))</f>
        <v/>
      </c>
      <c r="E375" s="34" t="n"/>
      <c r="F375" s="36" t="n"/>
      <c r="G375" s="44">
        <f>IF(OR(C375="",C375=0,F375=""),"",F375/C375)</f>
        <v/>
      </c>
      <c r="H375" s="34" t="n"/>
    </row>
    <row r="376">
      <c r="A376" s="45" t="n"/>
      <c r="B376" s="34" t="n"/>
      <c r="C376" s="34" t="n"/>
      <c r="D376" s="46">
        <f>IF(B376="","",IFERROR(INDEX(Products!$B$2:$B$101,MATCH(B376,Products!$A$2:$A$101,0)),"Unknown SKU"))</f>
        <v/>
      </c>
      <c r="E376" s="34" t="n"/>
      <c r="F376" s="36" t="n"/>
      <c r="G376" s="44">
        <f>IF(OR(C376="",C376=0,F376=""),"",F376/C376)</f>
        <v/>
      </c>
      <c r="H376" s="34" t="n"/>
    </row>
    <row r="377">
      <c r="A377" s="45" t="n"/>
      <c r="B377" s="34" t="n"/>
      <c r="C377" s="34" t="n"/>
      <c r="D377" s="46">
        <f>IF(B377="","",IFERROR(INDEX(Products!$B$2:$B$101,MATCH(B377,Products!$A$2:$A$101,0)),"Unknown SKU"))</f>
        <v/>
      </c>
      <c r="E377" s="34" t="n"/>
      <c r="F377" s="36" t="n"/>
      <c r="G377" s="44">
        <f>IF(OR(C377="",C377=0,F377=""),"",F377/C377)</f>
        <v/>
      </c>
      <c r="H377" s="34" t="n"/>
    </row>
    <row r="378">
      <c r="A378" s="45" t="n"/>
      <c r="B378" s="34" t="n"/>
      <c r="C378" s="34" t="n"/>
      <c r="D378" s="46">
        <f>IF(B378="","",IFERROR(INDEX(Products!$B$2:$B$101,MATCH(B378,Products!$A$2:$A$101,0)),"Unknown SKU"))</f>
        <v/>
      </c>
      <c r="E378" s="34" t="n"/>
      <c r="F378" s="36" t="n"/>
      <c r="G378" s="44">
        <f>IF(OR(C378="",C378=0,F378=""),"",F378/C378)</f>
        <v/>
      </c>
      <c r="H378" s="34" t="n"/>
    </row>
    <row r="379">
      <c r="A379" s="45" t="n"/>
      <c r="B379" s="34" t="n"/>
      <c r="C379" s="34" t="n"/>
      <c r="D379" s="46">
        <f>IF(B379="","",IFERROR(INDEX(Products!$B$2:$B$101,MATCH(B379,Products!$A$2:$A$101,0)),"Unknown SKU"))</f>
        <v/>
      </c>
      <c r="E379" s="34" t="n"/>
      <c r="F379" s="36" t="n"/>
      <c r="G379" s="44">
        <f>IF(OR(C379="",C379=0,F379=""),"",F379/C379)</f>
        <v/>
      </c>
      <c r="H379" s="34" t="n"/>
    </row>
    <row r="380">
      <c r="A380" s="45" t="n"/>
      <c r="B380" s="34" t="n"/>
      <c r="C380" s="34" t="n"/>
      <c r="D380" s="46">
        <f>IF(B380="","",IFERROR(INDEX(Products!$B$2:$B$101,MATCH(B380,Products!$A$2:$A$101,0)),"Unknown SKU"))</f>
        <v/>
      </c>
      <c r="E380" s="34" t="n"/>
      <c r="F380" s="36" t="n"/>
      <c r="G380" s="44">
        <f>IF(OR(C380="",C380=0,F380=""),"",F380/C380)</f>
        <v/>
      </c>
      <c r="H380" s="34" t="n"/>
    </row>
    <row r="381">
      <c r="A381" s="45" t="n"/>
      <c r="B381" s="34" t="n"/>
      <c r="C381" s="34" t="n"/>
      <c r="D381" s="46">
        <f>IF(B381="","",IFERROR(INDEX(Products!$B$2:$B$101,MATCH(B381,Products!$A$2:$A$101,0)),"Unknown SKU"))</f>
        <v/>
      </c>
      <c r="E381" s="34" t="n"/>
      <c r="F381" s="36" t="n"/>
      <c r="G381" s="44">
        <f>IF(OR(C381="",C381=0,F381=""),"",F381/C381)</f>
        <v/>
      </c>
      <c r="H381" s="34" t="n"/>
    </row>
    <row r="382">
      <c r="A382" s="45" t="n"/>
      <c r="B382" s="34" t="n"/>
      <c r="C382" s="34" t="n"/>
      <c r="D382" s="46">
        <f>IF(B382="","",IFERROR(INDEX(Products!$B$2:$B$101,MATCH(B382,Products!$A$2:$A$101,0)),"Unknown SKU"))</f>
        <v/>
      </c>
      <c r="E382" s="34" t="n"/>
      <c r="F382" s="36" t="n"/>
      <c r="G382" s="44">
        <f>IF(OR(C382="",C382=0,F382=""),"",F382/C382)</f>
        <v/>
      </c>
      <c r="H382" s="34" t="n"/>
    </row>
    <row r="383">
      <c r="A383" s="45" t="n"/>
      <c r="B383" s="34" t="n"/>
      <c r="C383" s="34" t="n"/>
      <c r="D383" s="46">
        <f>IF(B383="","",IFERROR(INDEX(Products!$B$2:$B$101,MATCH(B383,Products!$A$2:$A$101,0)),"Unknown SKU"))</f>
        <v/>
      </c>
      <c r="E383" s="34" t="n"/>
      <c r="F383" s="36" t="n"/>
      <c r="G383" s="44">
        <f>IF(OR(C383="",C383=0,F383=""),"",F383/C383)</f>
        <v/>
      </c>
      <c r="H383" s="34" t="n"/>
    </row>
    <row r="384">
      <c r="A384" s="45" t="n"/>
      <c r="B384" s="34" t="n"/>
      <c r="C384" s="34" t="n"/>
      <c r="D384" s="46">
        <f>IF(B384="","",IFERROR(INDEX(Products!$B$2:$B$101,MATCH(B384,Products!$A$2:$A$101,0)),"Unknown SKU"))</f>
        <v/>
      </c>
      <c r="E384" s="34" t="n"/>
      <c r="F384" s="36" t="n"/>
      <c r="G384" s="44">
        <f>IF(OR(C384="",C384=0,F384=""),"",F384/C384)</f>
        <v/>
      </c>
      <c r="H384" s="34" t="n"/>
    </row>
    <row r="385">
      <c r="A385" s="45" t="n"/>
      <c r="B385" s="34" t="n"/>
      <c r="C385" s="34" t="n"/>
      <c r="D385" s="46">
        <f>IF(B385="","",IFERROR(INDEX(Products!$B$2:$B$101,MATCH(B385,Products!$A$2:$A$101,0)),"Unknown SKU"))</f>
        <v/>
      </c>
      <c r="E385" s="34" t="n"/>
      <c r="F385" s="36" t="n"/>
      <c r="G385" s="44">
        <f>IF(OR(C385="",C385=0,F385=""),"",F385/C385)</f>
        <v/>
      </c>
      <c r="H385" s="34" t="n"/>
    </row>
    <row r="386">
      <c r="A386" s="45" t="n"/>
      <c r="B386" s="34" t="n"/>
      <c r="C386" s="34" t="n"/>
      <c r="D386" s="46">
        <f>IF(B386="","",IFERROR(INDEX(Products!$B$2:$B$101,MATCH(B386,Products!$A$2:$A$101,0)),"Unknown SKU"))</f>
        <v/>
      </c>
      <c r="E386" s="34" t="n"/>
      <c r="F386" s="36" t="n"/>
      <c r="G386" s="44">
        <f>IF(OR(C386="",C386=0,F386=""),"",F386/C386)</f>
        <v/>
      </c>
      <c r="H386" s="34" t="n"/>
    </row>
    <row r="387">
      <c r="A387" s="45" t="n"/>
      <c r="B387" s="34" t="n"/>
      <c r="C387" s="34" t="n"/>
      <c r="D387" s="46">
        <f>IF(B387="","",IFERROR(INDEX(Products!$B$2:$B$101,MATCH(B387,Products!$A$2:$A$101,0)),"Unknown SKU"))</f>
        <v/>
      </c>
      <c r="E387" s="34" t="n"/>
      <c r="F387" s="36" t="n"/>
      <c r="G387" s="44">
        <f>IF(OR(C387="",C387=0,F387=""),"",F387/C387)</f>
        <v/>
      </c>
      <c r="H387" s="34" t="n"/>
    </row>
    <row r="388">
      <c r="A388" s="45" t="n"/>
      <c r="B388" s="34" t="n"/>
      <c r="C388" s="34" t="n"/>
      <c r="D388" s="46">
        <f>IF(B388="","",IFERROR(INDEX(Products!$B$2:$B$101,MATCH(B388,Products!$A$2:$A$101,0)),"Unknown SKU"))</f>
        <v/>
      </c>
      <c r="E388" s="34" t="n"/>
      <c r="F388" s="36" t="n"/>
      <c r="G388" s="44">
        <f>IF(OR(C388="",C388=0,F388=""),"",F388/C388)</f>
        <v/>
      </c>
      <c r="H388" s="34" t="n"/>
    </row>
    <row r="389">
      <c r="A389" s="45" t="n"/>
      <c r="B389" s="34" t="n"/>
      <c r="C389" s="34" t="n"/>
      <c r="D389" s="46">
        <f>IF(B389="","",IFERROR(INDEX(Products!$B$2:$B$101,MATCH(B389,Products!$A$2:$A$101,0)),"Unknown SKU"))</f>
        <v/>
      </c>
      <c r="E389" s="34" t="n"/>
      <c r="F389" s="36" t="n"/>
      <c r="G389" s="44">
        <f>IF(OR(C389="",C389=0,F389=""),"",F389/C389)</f>
        <v/>
      </c>
      <c r="H389" s="34" t="n"/>
    </row>
    <row r="390">
      <c r="A390" s="45" t="n"/>
      <c r="B390" s="34" t="n"/>
      <c r="C390" s="34" t="n"/>
      <c r="D390" s="46">
        <f>IF(B390="","",IFERROR(INDEX(Products!$B$2:$B$101,MATCH(B390,Products!$A$2:$A$101,0)),"Unknown SKU"))</f>
        <v/>
      </c>
      <c r="E390" s="34" t="n"/>
      <c r="F390" s="36" t="n"/>
      <c r="G390" s="44">
        <f>IF(OR(C390="",C390=0,F390=""),"",F390/C390)</f>
        <v/>
      </c>
      <c r="H390" s="34" t="n"/>
    </row>
    <row r="391">
      <c r="A391" s="45" t="n"/>
      <c r="B391" s="34" t="n"/>
      <c r="C391" s="34" t="n"/>
      <c r="D391" s="46">
        <f>IF(B391="","",IFERROR(INDEX(Products!$B$2:$B$101,MATCH(B391,Products!$A$2:$A$101,0)),"Unknown SKU"))</f>
        <v/>
      </c>
      <c r="E391" s="34" t="n"/>
      <c r="F391" s="36" t="n"/>
      <c r="G391" s="44">
        <f>IF(OR(C391="",C391=0,F391=""),"",F391/C391)</f>
        <v/>
      </c>
      <c r="H391" s="34" t="n"/>
    </row>
    <row r="392">
      <c r="A392" s="45" t="n"/>
      <c r="B392" s="34" t="n"/>
      <c r="C392" s="34" t="n"/>
      <c r="D392" s="46">
        <f>IF(B392="","",IFERROR(INDEX(Products!$B$2:$B$101,MATCH(B392,Products!$A$2:$A$101,0)),"Unknown SKU"))</f>
        <v/>
      </c>
      <c r="E392" s="34" t="n"/>
      <c r="F392" s="36" t="n"/>
      <c r="G392" s="44">
        <f>IF(OR(C392="",C392=0,F392=""),"",F392/C392)</f>
        <v/>
      </c>
      <c r="H392" s="34" t="n"/>
    </row>
    <row r="393">
      <c r="A393" s="45" t="n"/>
      <c r="B393" s="34" t="n"/>
      <c r="C393" s="34" t="n"/>
      <c r="D393" s="46">
        <f>IF(B393="","",IFERROR(INDEX(Products!$B$2:$B$101,MATCH(B393,Products!$A$2:$A$101,0)),"Unknown SKU"))</f>
        <v/>
      </c>
      <c r="E393" s="34" t="n"/>
      <c r="F393" s="36" t="n"/>
      <c r="G393" s="44">
        <f>IF(OR(C393="",C393=0,F393=""),"",F393/C393)</f>
        <v/>
      </c>
      <c r="H393" s="34" t="n"/>
    </row>
    <row r="394">
      <c r="A394" s="45" t="n"/>
      <c r="B394" s="34" t="n"/>
      <c r="C394" s="34" t="n"/>
      <c r="D394" s="46">
        <f>IF(B394="","",IFERROR(INDEX(Products!$B$2:$B$101,MATCH(B394,Products!$A$2:$A$101,0)),"Unknown SKU"))</f>
        <v/>
      </c>
      <c r="E394" s="34" t="n"/>
      <c r="F394" s="36" t="n"/>
      <c r="G394" s="44">
        <f>IF(OR(C394="",C394=0,F394=""),"",F394/C394)</f>
        <v/>
      </c>
      <c r="H394" s="34" t="n"/>
    </row>
    <row r="395">
      <c r="A395" s="45" t="n"/>
      <c r="B395" s="34" t="n"/>
      <c r="C395" s="34" t="n"/>
      <c r="D395" s="46">
        <f>IF(B395="","",IFERROR(INDEX(Products!$B$2:$B$101,MATCH(B395,Products!$A$2:$A$101,0)),"Unknown SKU"))</f>
        <v/>
      </c>
      <c r="E395" s="34" t="n"/>
      <c r="F395" s="36" t="n"/>
      <c r="G395" s="44">
        <f>IF(OR(C395="",C395=0,F395=""),"",F395/C395)</f>
        <v/>
      </c>
      <c r="H395" s="34" t="n"/>
    </row>
    <row r="396">
      <c r="A396" s="45" t="n"/>
      <c r="B396" s="34" t="n"/>
      <c r="C396" s="34" t="n"/>
      <c r="D396" s="46">
        <f>IF(B396="","",IFERROR(INDEX(Products!$B$2:$B$101,MATCH(B396,Products!$A$2:$A$101,0)),"Unknown SKU"))</f>
        <v/>
      </c>
      <c r="E396" s="34" t="n"/>
      <c r="F396" s="36" t="n"/>
      <c r="G396" s="44">
        <f>IF(OR(C396="",C396=0,F396=""),"",F396/C396)</f>
        <v/>
      </c>
      <c r="H396" s="34" t="n"/>
    </row>
    <row r="397">
      <c r="A397" s="45" t="n"/>
      <c r="B397" s="34" t="n"/>
      <c r="C397" s="34" t="n"/>
      <c r="D397" s="46">
        <f>IF(B397="","",IFERROR(INDEX(Products!$B$2:$B$101,MATCH(B397,Products!$A$2:$A$101,0)),"Unknown SKU"))</f>
        <v/>
      </c>
      <c r="E397" s="34" t="n"/>
      <c r="F397" s="36" t="n"/>
      <c r="G397" s="44">
        <f>IF(OR(C397="",C397=0,F397=""),"",F397/C397)</f>
        <v/>
      </c>
      <c r="H397" s="34" t="n"/>
    </row>
    <row r="398">
      <c r="A398" s="45" t="n"/>
      <c r="B398" s="34" t="n"/>
      <c r="C398" s="34" t="n"/>
      <c r="D398" s="46">
        <f>IF(B398="","",IFERROR(INDEX(Products!$B$2:$B$101,MATCH(B398,Products!$A$2:$A$101,0)),"Unknown SKU"))</f>
        <v/>
      </c>
      <c r="E398" s="34" t="n"/>
      <c r="F398" s="36" t="n"/>
      <c r="G398" s="44">
        <f>IF(OR(C398="",C398=0,F398=""),"",F398/C398)</f>
        <v/>
      </c>
      <c r="H398" s="34" t="n"/>
    </row>
    <row r="399">
      <c r="A399" s="45" t="n"/>
      <c r="B399" s="34" t="n"/>
      <c r="C399" s="34" t="n"/>
      <c r="D399" s="46">
        <f>IF(B399="","",IFERROR(INDEX(Products!$B$2:$B$101,MATCH(B399,Products!$A$2:$A$101,0)),"Unknown SKU"))</f>
        <v/>
      </c>
      <c r="E399" s="34" t="n"/>
      <c r="F399" s="36" t="n"/>
      <c r="G399" s="44">
        <f>IF(OR(C399="",C399=0,F399=""),"",F399/C399)</f>
        <v/>
      </c>
      <c r="H399" s="34" t="n"/>
    </row>
    <row r="400">
      <c r="A400" s="45" t="n"/>
      <c r="B400" s="34" t="n"/>
      <c r="C400" s="34" t="n"/>
      <c r="D400" s="46">
        <f>IF(B400="","",IFERROR(INDEX(Products!$B$2:$B$101,MATCH(B400,Products!$A$2:$A$101,0)),"Unknown SKU"))</f>
        <v/>
      </c>
      <c r="E400" s="34" t="n"/>
      <c r="F400" s="36" t="n"/>
      <c r="G400" s="44">
        <f>IF(OR(C400="",C400=0,F400=""),"",F400/C400)</f>
        <v/>
      </c>
      <c r="H400" s="34" t="n"/>
    </row>
    <row r="401">
      <c r="A401" s="45" t="n"/>
      <c r="B401" s="34" t="n"/>
      <c r="C401" s="34" t="n"/>
      <c r="D401" s="46">
        <f>IF(B401="","",IFERROR(INDEX(Products!$B$2:$B$101,MATCH(B401,Products!$A$2:$A$101,0)),"Unknown SKU"))</f>
        <v/>
      </c>
      <c r="E401" s="34" t="n"/>
      <c r="F401" s="36" t="n"/>
      <c r="G401" s="44">
        <f>IF(OR(C401="",C401=0,F401=""),"",F401/C401)</f>
        <v/>
      </c>
      <c r="H401" s="34" t="n"/>
    </row>
    <row r="402">
      <c r="A402" s="45" t="n"/>
      <c r="B402" s="34" t="n"/>
      <c r="C402" s="34" t="n"/>
      <c r="D402" s="46">
        <f>IF(B402="","",IFERROR(INDEX(Products!$B$2:$B$101,MATCH(B402,Products!$A$2:$A$101,0)),"Unknown SKU"))</f>
        <v/>
      </c>
      <c r="E402" s="34" t="n"/>
      <c r="F402" s="36" t="n"/>
      <c r="G402" s="44">
        <f>IF(OR(C402="",C402=0,F402=""),"",F402/C402)</f>
        <v/>
      </c>
      <c r="H402" s="34" t="n"/>
    </row>
    <row r="403">
      <c r="A403" s="45" t="n"/>
      <c r="B403" s="34" t="n"/>
      <c r="C403" s="34" t="n"/>
      <c r="D403" s="46">
        <f>IF(B403="","",IFERROR(INDEX(Products!$B$2:$B$101,MATCH(B403,Products!$A$2:$A$101,0)),"Unknown SKU"))</f>
        <v/>
      </c>
      <c r="E403" s="34" t="n"/>
      <c r="F403" s="36" t="n"/>
      <c r="G403" s="44">
        <f>IF(OR(C403="",C403=0,F403=""),"",F403/C403)</f>
        <v/>
      </c>
      <c r="H403" s="34" t="n"/>
    </row>
    <row r="404">
      <c r="A404" s="45" t="n"/>
      <c r="B404" s="34" t="n"/>
      <c r="C404" s="34" t="n"/>
      <c r="D404" s="46">
        <f>IF(B404="","",IFERROR(INDEX(Products!$B$2:$B$101,MATCH(B404,Products!$A$2:$A$101,0)),"Unknown SKU"))</f>
        <v/>
      </c>
      <c r="E404" s="34" t="n"/>
      <c r="F404" s="36" t="n"/>
      <c r="G404" s="44">
        <f>IF(OR(C404="",C404=0,F404=""),"",F404/C404)</f>
        <v/>
      </c>
      <c r="H404" s="34" t="n"/>
    </row>
    <row r="405">
      <c r="A405" s="45" t="n"/>
      <c r="B405" s="34" t="n"/>
      <c r="C405" s="34" t="n"/>
      <c r="D405" s="46">
        <f>IF(B405="","",IFERROR(INDEX(Products!$B$2:$B$101,MATCH(B405,Products!$A$2:$A$101,0)),"Unknown SKU"))</f>
        <v/>
      </c>
      <c r="E405" s="34" t="n"/>
      <c r="F405" s="36" t="n"/>
      <c r="G405" s="44">
        <f>IF(OR(C405="",C405=0,F405=""),"",F405/C405)</f>
        <v/>
      </c>
      <c r="H405" s="34" t="n"/>
    </row>
    <row r="406">
      <c r="A406" s="45" t="n"/>
      <c r="B406" s="34" t="n"/>
      <c r="C406" s="34" t="n"/>
      <c r="D406" s="46">
        <f>IF(B406="","",IFERROR(INDEX(Products!$B$2:$B$101,MATCH(B406,Products!$A$2:$A$101,0)),"Unknown SKU"))</f>
        <v/>
      </c>
      <c r="E406" s="34" t="n"/>
      <c r="F406" s="36" t="n"/>
      <c r="G406" s="44">
        <f>IF(OR(C406="",C406=0,F406=""),"",F406/C406)</f>
        <v/>
      </c>
      <c r="H406" s="34" t="n"/>
    </row>
    <row r="407">
      <c r="A407" s="45" t="n"/>
      <c r="B407" s="34" t="n"/>
      <c r="C407" s="34" t="n"/>
      <c r="D407" s="46">
        <f>IF(B407="","",IFERROR(INDEX(Products!$B$2:$B$101,MATCH(B407,Products!$A$2:$A$101,0)),"Unknown SKU"))</f>
        <v/>
      </c>
      <c r="E407" s="34" t="n"/>
      <c r="F407" s="36" t="n"/>
      <c r="G407" s="44">
        <f>IF(OR(C407="",C407=0,F407=""),"",F407/C407)</f>
        <v/>
      </c>
      <c r="H407" s="34" t="n"/>
    </row>
    <row r="408">
      <c r="A408" s="45" t="n"/>
      <c r="B408" s="34" t="n"/>
      <c r="C408" s="34" t="n"/>
      <c r="D408" s="46">
        <f>IF(B408="","",IFERROR(INDEX(Products!$B$2:$B$101,MATCH(B408,Products!$A$2:$A$101,0)),"Unknown SKU"))</f>
        <v/>
      </c>
      <c r="E408" s="34" t="n"/>
      <c r="F408" s="36" t="n"/>
      <c r="G408" s="44">
        <f>IF(OR(C408="",C408=0,F408=""),"",F408/C408)</f>
        <v/>
      </c>
      <c r="H408" s="34" t="n"/>
    </row>
    <row r="409">
      <c r="A409" s="45" t="n"/>
      <c r="B409" s="34" t="n"/>
      <c r="C409" s="34" t="n"/>
      <c r="D409" s="46">
        <f>IF(B409="","",IFERROR(INDEX(Products!$B$2:$B$101,MATCH(B409,Products!$A$2:$A$101,0)),"Unknown SKU"))</f>
        <v/>
      </c>
      <c r="E409" s="34" t="n"/>
      <c r="F409" s="36" t="n"/>
      <c r="G409" s="44">
        <f>IF(OR(C409="",C409=0,F409=""),"",F409/C409)</f>
        <v/>
      </c>
      <c r="H409" s="34" t="n"/>
    </row>
    <row r="410">
      <c r="A410" s="45" t="n"/>
      <c r="B410" s="34" t="n"/>
      <c r="C410" s="34" t="n"/>
      <c r="D410" s="46">
        <f>IF(B410="","",IFERROR(INDEX(Products!$B$2:$B$101,MATCH(B410,Products!$A$2:$A$101,0)),"Unknown SKU"))</f>
        <v/>
      </c>
      <c r="E410" s="34" t="n"/>
      <c r="F410" s="36" t="n"/>
      <c r="G410" s="44">
        <f>IF(OR(C410="",C410=0,F410=""),"",F410/C410)</f>
        <v/>
      </c>
      <c r="H410" s="34" t="n"/>
    </row>
    <row r="411">
      <c r="A411" s="45" t="n"/>
      <c r="B411" s="34" t="n"/>
      <c r="C411" s="34" t="n"/>
      <c r="D411" s="46">
        <f>IF(B411="","",IFERROR(INDEX(Products!$B$2:$B$101,MATCH(B411,Products!$A$2:$A$101,0)),"Unknown SKU"))</f>
        <v/>
      </c>
      <c r="E411" s="34" t="n"/>
      <c r="F411" s="36" t="n"/>
      <c r="G411" s="44">
        <f>IF(OR(C411="",C411=0,F411=""),"",F411/C411)</f>
        <v/>
      </c>
      <c r="H411" s="34" t="n"/>
    </row>
    <row r="412">
      <c r="A412" s="45" t="n"/>
      <c r="B412" s="34" t="n"/>
      <c r="C412" s="34" t="n"/>
      <c r="D412" s="46">
        <f>IF(B412="","",IFERROR(INDEX(Products!$B$2:$B$101,MATCH(B412,Products!$A$2:$A$101,0)),"Unknown SKU"))</f>
        <v/>
      </c>
      <c r="E412" s="34" t="n"/>
      <c r="F412" s="36" t="n"/>
      <c r="G412" s="44">
        <f>IF(OR(C412="",C412=0,F412=""),"",F412/C412)</f>
        <v/>
      </c>
      <c r="H412" s="34" t="n"/>
    </row>
    <row r="413">
      <c r="A413" s="45" t="n"/>
      <c r="B413" s="34" t="n"/>
      <c r="C413" s="34" t="n"/>
      <c r="D413" s="46">
        <f>IF(B413="","",IFERROR(INDEX(Products!$B$2:$B$101,MATCH(B413,Products!$A$2:$A$101,0)),"Unknown SKU"))</f>
        <v/>
      </c>
      <c r="E413" s="34" t="n"/>
      <c r="F413" s="36" t="n"/>
      <c r="G413" s="44">
        <f>IF(OR(C413="",C413=0,F413=""),"",F413/C413)</f>
        <v/>
      </c>
      <c r="H413" s="34" t="n"/>
    </row>
    <row r="414">
      <c r="A414" s="45" t="n"/>
      <c r="B414" s="34" t="n"/>
      <c r="C414" s="34" t="n"/>
      <c r="D414" s="46">
        <f>IF(B414="","",IFERROR(INDEX(Products!$B$2:$B$101,MATCH(B414,Products!$A$2:$A$101,0)),"Unknown SKU"))</f>
        <v/>
      </c>
      <c r="E414" s="34" t="n"/>
      <c r="F414" s="36" t="n"/>
      <c r="G414" s="44">
        <f>IF(OR(C414="",C414=0,F414=""),"",F414/C414)</f>
        <v/>
      </c>
      <c r="H414" s="34" t="n"/>
    </row>
    <row r="415">
      <c r="A415" s="45" t="n"/>
      <c r="B415" s="34" t="n"/>
      <c r="C415" s="34" t="n"/>
      <c r="D415" s="46">
        <f>IF(B415="","",IFERROR(INDEX(Products!$B$2:$B$101,MATCH(B415,Products!$A$2:$A$101,0)),"Unknown SKU"))</f>
        <v/>
      </c>
      <c r="E415" s="34" t="n"/>
      <c r="F415" s="36" t="n"/>
      <c r="G415" s="44">
        <f>IF(OR(C415="",C415=0,F415=""),"",F415/C415)</f>
        <v/>
      </c>
      <c r="H415" s="34" t="n"/>
    </row>
    <row r="416">
      <c r="A416" s="45" t="n"/>
      <c r="B416" s="34" t="n"/>
      <c r="C416" s="34" t="n"/>
      <c r="D416" s="46">
        <f>IF(B416="","",IFERROR(INDEX(Products!$B$2:$B$101,MATCH(B416,Products!$A$2:$A$101,0)),"Unknown SKU"))</f>
        <v/>
      </c>
      <c r="E416" s="34" t="n"/>
      <c r="F416" s="36" t="n"/>
      <c r="G416" s="44">
        <f>IF(OR(C416="",C416=0,F416=""),"",F416/C416)</f>
        <v/>
      </c>
      <c r="H416" s="34" t="n"/>
    </row>
    <row r="417">
      <c r="A417" s="45" t="n"/>
      <c r="B417" s="34" t="n"/>
      <c r="C417" s="34" t="n"/>
      <c r="D417" s="46">
        <f>IF(B417="","",IFERROR(INDEX(Products!$B$2:$B$101,MATCH(B417,Products!$A$2:$A$101,0)),"Unknown SKU"))</f>
        <v/>
      </c>
      <c r="E417" s="34" t="n"/>
      <c r="F417" s="36" t="n"/>
      <c r="G417" s="44">
        <f>IF(OR(C417="",C417=0,F417=""),"",F417/C417)</f>
        <v/>
      </c>
      <c r="H417" s="34" t="n"/>
    </row>
    <row r="418">
      <c r="A418" s="45" t="n"/>
      <c r="B418" s="34" t="n"/>
      <c r="C418" s="34" t="n"/>
      <c r="D418" s="46">
        <f>IF(B418="","",IFERROR(INDEX(Products!$B$2:$B$101,MATCH(B418,Products!$A$2:$A$101,0)),"Unknown SKU"))</f>
        <v/>
      </c>
      <c r="E418" s="34" t="n"/>
      <c r="F418" s="36" t="n"/>
      <c r="G418" s="44">
        <f>IF(OR(C418="",C418=0,F418=""),"",F418/C418)</f>
        <v/>
      </c>
      <c r="H418" s="34" t="n"/>
    </row>
    <row r="419">
      <c r="A419" s="45" t="n"/>
      <c r="B419" s="34" t="n"/>
      <c r="C419" s="34" t="n"/>
      <c r="D419" s="46">
        <f>IF(B419="","",IFERROR(INDEX(Products!$B$2:$B$101,MATCH(B419,Products!$A$2:$A$101,0)),"Unknown SKU"))</f>
        <v/>
      </c>
      <c r="E419" s="34" t="n"/>
      <c r="F419" s="36" t="n"/>
      <c r="G419" s="44">
        <f>IF(OR(C419="",C419=0,F419=""),"",F419/C419)</f>
        <v/>
      </c>
      <c r="H419" s="34" t="n"/>
    </row>
    <row r="420">
      <c r="A420" s="45" t="n"/>
      <c r="B420" s="34" t="n"/>
      <c r="C420" s="34" t="n"/>
      <c r="D420" s="46">
        <f>IF(B420="","",IFERROR(INDEX(Products!$B$2:$B$101,MATCH(B420,Products!$A$2:$A$101,0)),"Unknown SKU"))</f>
        <v/>
      </c>
      <c r="E420" s="34" t="n"/>
      <c r="F420" s="36" t="n"/>
      <c r="G420" s="44">
        <f>IF(OR(C420="",C420=0,F420=""),"",F420/C420)</f>
        <v/>
      </c>
      <c r="H420" s="34" t="n"/>
    </row>
    <row r="421">
      <c r="A421" s="45" t="n"/>
      <c r="B421" s="34" t="n"/>
      <c r="C421" s="34" t="n"/>
      <c r="D421" s="46">
        <f>IF(B421="","",IFERROR(INDEX(Products!$B$2:$B$101,MATCH(B421,Products!$A$2:$A$101,0)),"Unknown SKU"))</f>
        <v/>
      </c>
      <c r="E421" s="34" t="n"/>
      <c r="F421" s="36" t="n"/>
      <c r="G421" s="44">
        <f>IF(OR(C421="",C421=0,F421=""),"",F421/C421)</f>
        <v/>
      </c>
      <c r="H421" s="34" t="n"/>
    </row>
    <row r="422">
      <c r="A422" s="45" t="n"/>
      <c r="B422" s="34" t="n"/>
      <c r="C422" s="34" t="n"/>
      <c r="D422" s="46">
        <f>IF(B422="","",IFERROR(INDEX(Products!$B$2:$B$101,MATCH(B422,Products!$A$2:$A$101,0)),"Unknown SKU"))</f>
        <v/>
      </c>
      <c r="E422" s="34" t="n"/>
      <c r="F422" s="36" t="n"/>
      <c r="G422" s="44">
        <f>IF(OR(C422="",C422=0,F422=""),"",F422/C422)</f>
        <v/>
      </c>
      <c r="H422" s="34" t="n"/>
    </row>
    <row r="423">
      <c r="A423" s="45" t="n"/>
      <c r="B423" s="34" t="n"/>
      <c r="C423" s="34" t="n"/>
      <c r="D423" s="46">
        <f>IF(B423="","",IFERROR(INDEX(Products!$B$2:$B$101,MATCH(B423,Products!$A$2:$A$101,0)),"Unknown SKU"))</f>
        <v/>
      </c>
      <c r="E423" s="34" t="n"/>
      <c r="F423" s="36" t="n"/>
      <c r="G423" s="44">
        <f>IF(OR(C423="",C423=0,F423=""),"",F423/C423)</f>
        <v/>
      </c>
      <c r="H423" s="34" t="n"/>
    </row>
    <row r="424">
      <c r="A424" s="45" t="n"/>
      <c r="B424" s="34" t="n"/>
      <c r="C424" s="34" t="n"/>
      <c r="D424" s="46">
        <f>IF(B424="","",IFERROR(INDEX(Products!$B$2:$B$101,MATCH(B424,Products!$A$2:$A$101,0)),"Unknown SKU"))</f>
        <v/>
      </c>
      <c r="E424" s="34" t="n"/>
      <c r="F424" s="36" t="n"/>
      <c r="G424" s="44">
        <f>IF(OR(C424="",C424=0,F424=""),"",F424/C424)</f>
        <v/>
      </c>
      <c r="H424" s="34" t="n"/>
    </row>
    <row r="425">
      <c r="A425" s="45" t="n"/>
      <c r="B425" s="34" t="n"/>
      <c r="C425" s="34" t="n"/>
      <c r="D425" s="46">
        <f>IF(B425="","",IFERROR(INDEX(Products!$B$2:$B$101,MATCH(B425,Products!$A$2:$A$101,0)),"Unknown SKU"))</f>
        <v/>
      </c>
      <c r="E425" s="34" t="n"/>
      <c r="F425" s="36" t="n"/>
      <c r="G425" s="44">
        <f>IF(OR(C425="",C425=0,F425=""),"",F425/C425)</f>
        <v/>
      </c>
      <c r="H425" s="34" t="n"/>
    </row>
    <row r="426">
      <c r="A426" s="45" t="n"/>
      <c r="B426" s="34" t="n"/>
      <c r="C426" s="34" t="n"/>
      <c r="D426" s="46">
        <f>IF(B426="","",IFERROR(INDEX(Products!$B$2:$B$101,MATCH(B426,Products!$A$2:$A$101,0)),"Unknown SKU"))</f>
        <v/>
      </c>
      <c r="E426" s="34" t="n"/>
      <c r="F426" s="36" t="n"/>
      <c r="G426" s="44">
        <f>IF(OR(C426="",C426=0,F426=""),"",F426/C426)</f>
        <v/>
      </c>
      <c r="H426" s="34" t="n"/>
    </row>
    <row r="427">
      <c r="A427" s="45" t="n"/>
      <c r="B427" s="34" t="n"/>
      <c r="C427" s="34" t="n"/>
      <c r="D427" s="46">
        <f>IF(B427="","",IFERROR(INDEX(Products!$B$2:$B$101,MATCH(B427,Products!$A$2:$A$101,0)),"Unknown SKU"))</f>
        <v/>
      </c>
      <c r="E427" s="34" t="n"/>
      <c r="F427" s="36" t="n"/>
      <c r="G427" s="44">
        <f>IF(OR(C427="",C427=0,F427=""),"",F427/C427)</f>
        <v/>
      </c>
      <c r="H427" s="34" t="n"/>
    </row>
    <row r="428">
      <c r="A428" s="45" t="n"/>
      <c r="B428" s="34" t="n"/>
      <c r="C428" s="34" t="n"/>
      <c r="D428" s="46">
        <f>IF(B428="","",IFERROR(INDEX(Products!$B$2:$B$101,MATCH(B428,Products!$A$2:$A$101,0)),"Unknown SKU"))</f>
        <v/>
      </c>
      <c r="E428" s="34" t="n"/>
      <c r="F428" s="36" t="n"/>
      <c r="G428" s="44">
        <f>IF(OR(C428="",C428=0,F428=""),"",F428/C428)</f>
        <v/>
      </c>
      <c r="H428" s="34" t="n"/>
    </row>
    <row r="429">
      <c r="A429" s="45" t="n"/>
      <c r="B429" s="34" t="n"/>
      <c r="C429" s="34" t="n"/>
      <c r="D429" s="46">
        <f>IF(B429="","",IFERROR(INDEX(Products!$B$2:$B$101,MATCH(B429,Products!$A$2:$A$101,0)),"Unknown SKU"))</f>
        <v/>
      </c>
      <c r="E429" s="34" t="n"/>
      <c r="F429" s="36" t="n"/>
      <c r="G429" s="44">
        <f>IF(OR(C429="",C429=0,F429=""),"",F429/C429)</f>
        <v/>
      </c>
      <c r="H429" s="34" t="n"/>
    </row>
    <row r="430">
      <c r="A430" s="45" t="n"/>
      <c r="B430" s="34" t="n"/>
      <c r="C430" s="34" t="n"/>
      <c r="D430" s="46">
        <f>IF(B430="","",IFERROR(INDEX(Products!$B$2:$B$101,MATCH(B430,Products!$A$2:$A$101,0)),"Unknown SKU"))</f>
        <v/>
      </c>
      <c r="E430" s="34" t="n"/>
      <c r="F430" s="36" t="n"/>
      <c r="G430" s="44">
        <f>IF(OR(C430="",C430=0,F430=""),"",F430/C430)</f>
        <v/>
      </c>
      <c r="H430" s="34" t="n"/>
    </row>
    <row r="431">
      <c r="A431" s="45" t="n"/>
      <c r="B431" s="34" t="n"/>
      <c r="C431" s="34" t="n"/>
      <c r="D431" s="46">
        <f>IF(B431="","",IFERROR(INDEX(Products!$B$2:$B$101,MATCH(B431,Products!$A$2:$A$101,0)),"Unknown SKU"))</f>
        <v/>
      </c>
      <c r="E431" s="34" t="n"/>
      <c r="F431" s="36" t="n"/>
      <c r="G431" s="44">
        <f>IF(OR(C431="",C431=0,F431=""),"",F431/C431)</f>
        <v/>
      </c>
      <c r="H431" s="34" t="n"/>
    </row>
    <row r="432">
      <c r="A432" s="45" t="n"/>
      <c r="B432" s="34" t="n"/>
      <c r="C432" s="34" t="n"/>
      <c r="D432" s="46">
        <f>IF(B432="","",IFERROR(INDEX(Products!$B$2:$B$101,MATCH(B432,Products!$A$2:$A$101,0)),"Unknown SKU"))</f>
        <v/>
      </c>
      <c r="E432" s="34" t="n"/>
      <c r="F432" s="36" t="n"/>
      <c r="G432" s="44">
        <f>IF(OR(C432="",C432=0,F432=""),"",F432/C432)</f>
        <v/>
      </c>
      <c r="H432" s="34" t="n"/>
    </row>
    <row r="433">
      <c r="A433" s="45" t="n"/>
      <c r="B433" s="34" t="n"/>
      <c r="C433" s="34" t="n"/>
      <c r="D433" s="46">
        <f>IF(B433="","",IFERROR(INDEX(Products!$B$2:$B$101,MATCH(B433,Products!$A$2:$A$101,0)),"Unknown SKU"))</f>
        <v/>
      </c>
      <c r="E433" s="34" t="n"/>
      <c r="F433" s="36" t="n"/>
      <c r="G433" s="44">
        <f>IF(OR(C433="",C433=0,F433=""),"",F433/C433)</f>
        <v/>
      </c>
      <c r="H433" s="34" t="n"/>
    </row>
    <row r="434">
      <c r="A434" s="45" t="n"/>
      <c r="B434" s="34" t="n"/>
      <c r="C434" s="34" t="n"/>
      <c r="D434" s="46">
        <f>IF(B434="","",IFERROR(INDEX(Products!$B$2:$B$101,MATCH(B434,Products!$A$2:$A$101,0)),"Unknown SKU"))</f>
        <v/>
      </c>
      <c r="E434" s="34" t="n"/>
      <c r="F434" s="36" t="n"/>
      <c r="G434" s="44">
        <f>IF(OR(C434="",C434=0,F434=""),"",F434/C434)</f>
        <v/>
      </c>
      <c r="H434" s="34" t="n"/>
    </row>
    <row r="435">
      <c r="A435" s="45" t="n"/>
      <c r="B435" s="34" t="n"/>
      <c r="C435" s="34" t="n"/>
      <c r="D435" s="46">
        <f>IF(B435="","",IFERROR(INDEX(Products!$B$2:$B$101,MATCH(B435,Products!$A$2:$A$101,0)),"Unknown SKU"))</f>
        <v/>
      </c>
      <c r="E435" s="34" t="n"/>
      <c r="F435" s="36" t="n"/>
      <c r="G435" s="44">
        <f>IF(OR(C435="",C435=0,F435=""),"",F435/C435)</f>
        <v/>
      </c>
      <c r="H435" s="34" t="n"/>
    </row>
    <row r="436">
      <c r="A436" s="45" t="n"/>
      <c r="B436" s="34" t="n"/>
      <c r="C436" s="34" t="n"/>
      <c r="D436" s="46">
        <f>IF(B436="","",IFERROR(INDEX(Products!$B$2:$B$101,MATCH(B436,Products!$A$2:$A$101,0)),"Unknown SKU"))</f>
        <v/>
      </c>
      <c r="E436" s="34" t="n"/>
      <c r="F436" s="36" t="n"/>
      <c r="G436" s="44">
        <f>IF(OR(C436="",C436=0,F436=""),"",F436/C436)</f>
        <v/>
      </c>
      <c r="H436" s="34" t="n"/>
    </row>
    <row r="437">
      <c r="A437" s="45" t="n"/>
      <c r="B437" s="34" t="n"/>
      <c r="C437" s="34" t="n"/>
      <c r="D437" s="46">
        <f>IF(B437="","",IFERROR(INDEX(Products!$B$2:$B$101,MATCH(B437,Products!$A$2:$A$101,0)),"Unknown SKU"))</f>
        <v/>
      </c>
      <c r="E437" s="34" t="n"/>
      <c r="F437" s="36" t="n"/>
      <c r="G437" s="44">
        <f>IF(OR(C437="",C437=0,F437=""),"",F437/C437)</f>
        <v/>
      </c>
      <c r="H437" s="34" t="n"/>
    </row>
    <row r="438">
      <c r="A438" s="45" t="n"/>
      <c r="B438" s="34" t="n"/>
      <c r="C438" s="34" t="n"/>
      <c r="D438" s="46">
        <f>IF(B438="","",IFERROR(INDEX(Products!$B$2:$B$101,MATCH(B438,Products!$A$2:$A$101,0)),"Unknown SKU"))</f>
        <v/>
      </c>
      <c r="E438" s="34" t="n"/>
      <c r="F438" s="36" t="n"/>
      <c r="G438" s="44">
        <f>IF(OR(C438="",C438=0,F438=""),"",F438/C438)</f>
        <v/>
      </c>
      <c r="H438" s="34" t="n"/>
    </row>
    <row r="439">
      <c r="A439" s="45" t="n"/>
      <c r="B439" s="34" t="n"/>
      <c r="C439" s="34" t="n"/>
      <c r="D439" s="46">
        <f>IF(B439="","",IFERROR(INDEX(Products!$B$2:$B$101,MATCH(B439,Products!$A$2:$A$101,0)),"Unknown SKU"))</f>
        <v/>
      </c>
      <c r="E439" s="34" t="n"/>
      <c r="F439" s="36" t="n"/>
      <c r="G439" s="44">
        <f>IF(OR(C439="",C439=0,F439=""),"",F439/C439)</f>
        <v/>
      </c>
      <c r="H439" s="34" t="n"/>
    </row>
    <row r="440">
      <c r="A440" s="45" t="n"/>
      <c r="B440" s="34" t="n"/>
      <c r="C440" s="34" t="n"/>
      <c r="D440" s="46">
        <f>IF(B440="","",IFERROR(INDEX(Products!$B$2:$B$101,MATCH(B440,Products!$A$2:$A$101,0)),"Unknown SKU"))</f>
        <v/>
      </c>
      <c r="E440" s="34" t="n"/>
      <c r="F440" s="36" t="n"/>
      <c r="G440" s="44">
        <f>IF(OR(C440="",C440=0,F440=""),"",F440/C440)</f>
        <v/>
      </c>
      <c r="H440" s="34" t="n"/>
    </row>
    <row r="441">
      <c r="A441" s="45" t="n"/>
      <c r="B441" s="34" t="n"/>
      <c r="C441" s="34" t="n"/>
      <c r="D441" s="46">
        <f>IF(B441="","",IFERROR(INDEX(Products!$B$2:$B$101,MATCH(B441,Products!$A$2:$A$101,0)),"Unknown SKU"))</f>
        <v/>
      </c>
      <c r="E441" s="34" t="n"/>
      <c r="F441" s="36" t="n"/>
      <c r="G441" s="44">
        <f>IF(OR(C441="",C441=0,F441=""),"",F441/C441)</f>
        <v/>
      </c>
      <c r="H441" s="34" t="n"/>
    </row>
    <row r="442">
      <c r="A442" s="45" t="n"/>
      <c r="B442" s="34" t="n"/>
      <c r="C442" s="34" t="n"/>
      <c r="D442" s="46">
        <f>IF(B442="","",IFERROR(INDEX(Products!$B$2:$B$101,MATCH(B442,Products!$A$2:$A$101,0)),"Unknown SKU"))</f>
        <v/>
      </c>
      <c r="E442" s="34" t="n"/>
      <c r="F442" s="36" t="n"/>
      <c r="G442" s="44">
        <f>IF(OR(C442="",C442=0,F442=""),"",F442/C442)</f>
        <v/>
      </c>
      <c r="H442" s="34" t="n"/>
    </row>
    <row r="443">
      <c r="A443" s="45" t="n"/>
      <c r="B443" s="34" t="n"/>
      <c r="C443" s="34" t="n"/>
      <c r="D443" s="46">
        <f>IF(B443="","",IFERROR(INDEX(Products!$B$2:$B$101,MATCH(B443,Products!$A$2:$A$101,0)),"Unknown SKU"))</f>
        <v/>
      </c>
      <c r="E443" s="34" t="n"/>
      <c r="F443" s="36" t="n"/>
      <c r="G443" s="44">
        <f>IF(OR(C443="",C443=0,F443=""),"",F443/C443)</f>
        <v/>
      </c>
      <c r="H443" s="34" t="n"/>
    </row>
    <row r="444">
      <c r="A444" s="45" t="n"/>
      <c r="B444" s="34" t="n"/>
      <c r="C444" s="34" t="n"/>
      <c r="D444" s="46">
        <f>IF(B444="","",IFERROR(INDEX(Products!$B$2:$B$101,MATCH(B444,Products!$A$2:$A$101,0)),"Unknown SKU"))</f>
        <v/>
      </c>
      <c r="E444" s="34" t="n"/>
      <c r="F444" s="36" t="n"/>
      <c r="G444" s="44">
        <f>IF(OR(C444="",C444=0,F444=""),"",F444/C444)</f>
        <v/>
      </c>
      <c r="H444" s="34" t="n"/>
    </row>
    <row r="445">
      <c r="A445" s="45" t="n"/>
      <c r="B445" s="34" t="n"/>
      <c r="C445" s="34" t="n"/>
      <c r="D445" s="46">
        <f>IF(B445="","",IFERROR(INDEX(Products!$B$2:$B$101,MATCH(B445,Products!$A$2:$A$101,0)),"Unknown SKU"))</f>
        <v/>
      </c>
      <c r="E445" s="34" t="n"/>
      <c r="F445" s="36" t="n"/>
      <c r="G445" s="44">
        <f>IF(OR(C445="",C445=0,F445=""),"",F445/C445)</f>
        <v/>
      </c>
      <c r="H445" s="34" t="n"/>
    </row>
    <row r="446">
      <c r="A446" s="45" t="n"/>
      <c r="B446" s="34" t="n"/>
      <c r="C446" s="34" t="n"/>
      <c r="D446" s="46">
        <f>IF(B446="","",IFERROR(INDEX(Products!$B$2:$B$101,MATCH(B446,Products!$A$2:$A$101,0)),"Unknown SKU"))</f>
        <v/>
      </c>
      <c r="E446" s="34" t="n"/>
      <c r="F446" s="36" t="n"/>
      <c r="G446" s="44">
        <f>IF(OR(C446="",C446=0,F446=""),"",F446/C446)</f>
        <v/>
      </c>
      <c r="H446" s="34" t="n"/>
    </row>
    <row r="447">
      <c r="A447" s="45" t="n"/>
      <c r="B447" s="34" t="n"/>
      <c r="C447" s="34" t="n"/>
      <c r="D447" s="46">
        <f>IF(B447="","",IFERROR(INDEX(Products!$B$2:$B$101,MATCH(B447,Products!$A$2:$A$101,0)),"Unknown SKU"))</f>
        <v/>
      </c>
      <c r="E447" s="34" t="n"/>
      <c r="F447" s="36" t="n"/>
      <c r="G447" s="44">
        <f>IF(OR(C447="",C447=0,F447=""),"",F447/C447)</f>
        <v/>
      </c>
      <c r="H447" s="34" t="n"/>
    </row>
    <row r="448">
      <c r="A448" s="45" t="n"/>
      <c r="B448" s="34" t="n"/>
      <c r="C448" s="34" t="n"/>
      <c r="D448" s="46">
        <f>IF(B448="","",IFERROR(INDEX(Products!$B$2:$B$101,MATCH(B448,Products!$A$2:$A$101,0)),"Unknown SKU"))</f>
        <v/>
      </c>
      <c r="E448" s="34" t="n"/>
      <c r="F448" s="36" t="n"/>
      <c r="G448" s="44">
        <f>IF(OR(C448="",C448=0,F448=""),"",F448/C448)</f>
        <v/>
      </c>
      <c r="H448" s="34" t="n"/>
    </row>
    <row r="449">
      <c r="A449" s="45" t="n"/>
      <c r="B449" s="34" t="n"/>
      <c r="C449" s="34" t="n"/>
      <c r="D449" s="46">
        <f>IF(B449="","",IFERROR(INDEX(Products!$B$2:$B$101,MATCH(B449,Products!$A$2:$A$101,0)),"Unknown SKU"))</f>
        <v/>
      </c>
      <c r="E449" s="34" t="n"/>
      <c r="F449" s="36" t="n"/>
      <c r="G449" s="44">
        <f>IF(OR(C449="",C449=0,F449=""),"",F449/C449)</f>
        <v/>
      </c>
      <c r="H449" s="34" t="n"/>
    </row>
    <row r="450">
      <c r="A450" s="45" t="n"/>
      <c r="B450" s="34" t="n"/>
      <c r="C450" s="34" t="n"/>
      <c r="D450" s="46">
        <f>IF(B450="","",IFERROR(INDEX(Products!$B$2:$B$101,MATCH(B450,Products!$A$2:$A$101,0)),"Unknown SKU"))</f>
        <v/>
      </c>
      <c r="E450" s="34" t="n"/>
      <c r="F450" s="36" t="n"/>
      <c r="G450" s="44">
        <f>IF(OR(C450="",C450=0,F450=""),"",F450/C450)</f>
        <v/>
      </c>
      <c r="H450" s="34" t="n"/>
    </row>
    <row r="451">
      <c r="A451" s="45" t="n"/>
      <c r="B451" s="34" t="n"/>
      <c r="C451" s="34" t="n"/>
      <c r="D451" s="46">
        <f>IF(B451="","",IFERROR(INDEX(Products!$B$2:$B$101,MATCH(B451,Products!$A$2:$A$101,0)),"Unknown SKU"))</f>
        <v/>
      </c>
      <c r="E451" s="34" t="n"/>
      <c r="F451" s="36" t="n"/>
      <c r="G451" s="44">
        <f>IF(OR(C451="",C451=0,F451=""),"",F451/C451)</f>
        <v/>
      </c>
      <c r="H451" s="34" t="n"/>
    </row>
    <row r="452">
      <c r="A452" s="45" t="n"/>
      <c r="B452" s="34" t="n"/>
      <c r="C452" s="34" t="n"/>
      <c r="D452" s="46">
        <f>IF(B452="","",IFERROR(INDEX(Products!$B$2:$B$101,MATCH(B452,Products!$A$2:$A$101,0)),"Unknown SKU"))</f>
        <v/>
      </c>
      <c r="E452" s="34" t="n"/>
      <c r="F452" s="36" t="n"/>
      <c r="G452" s="44">
        <f>IF(OR(C452="",C452=0,F452=""),"",F452/C452)</f>
        <v/>
      </c>
      <c r="H452" s="34" t="n"/>
    </row>
    <row r="453">
      <c r="A453" s="45" t="n"/>
      <c r="B453" s="34" t="n"/>
      <c r="C453" s="34" t="n"/>
      <c r="D453" s="46">
        <f>IF(B453="","",IFERROR(INDEX(Products!$B$2:$B$101,MATCH(B453,Products!$A$2:$A$101,0)),"Unknown SKU"))</f>
        <v/>
      </c>
      <c r="E453" s="34" t="n"/>
      <c r="F453" s="36" t="n"/>
      <c r="G453" s="44">
        <f>IF(OR(C453="",C453=0,F453=""),"",F453/C453)</f>
        <v/>
      </c>
      <c r="H453" s="34" t="n"/>
    </row>
    <row r="454">
      <c r="A454" s="45" t="n"/>
      <c r="B454" s="34" t="n"/>
      <c r="C454" s="34" t="n"/>
      <c r="D454" s="46">
        <f>IF(B454="","",IFERROR(INDEX(Products!$B$2:$B$101,MATCH(B454,Products!$A$2:$A$101,0)),"Unknown SKU"))</f>
        <v/>
      </c>
      <c r="E454" s="34" t="n"/>
      <c r="F454" s="36" t="n"/>
      <c r="G454" s="44">
        <f>IF(OR(C454="",C454=0,F454=""),"",F454/C454)</f>
        <v/>
      </c>
      <c r="H454" s="34" t="n"/>
    </row>
    <row r="455">
      <c r="A455" s="45" t="n"/>
      <c r="B455" s="34" t="n"/>
      <c r="C455" s="34" t="n"/>
      <c r="D455" s="46">
        <f>IF(B455="","",IFERROR(INDEX(Products!$B$2:$B$101,MATCH(B455,Products!$A$2:$A$101,0)),"Unknown SKU"))</f>
        <v/>
      </c>
      <c r="E455" s="34" t="n"/>
      <c r="F455" s="36" t="n"/>
      <c r="G455" s="44">
        <f>IF(OR(C455="",C455=0,F455=""),"",F455/C455)</f>
        <v/>
      </c>
      <c r="H455" s="34" t="n"/>
    </row>
    <row r="456">
      <c r="A456" s="45" t="n"/>
      <c r="B456" s="34" t="n"/>
      <c r="C456" s="34" t="n"/>
      <c r="D456" s="46">
        <f>IF(B456="","",IFERROR(INDEX(Products!$B$2:$B$101,MATCH(B456,Products!$A$2:$A$101,0)),"Unknown SKU"))</f>
        <v/>
      </c>
      <c r="E456" s="34" t="n"/>
      <c r="F456" s="36" t="n"/>
      <c r="G456" s="44">
        <f>IF(OR(C456="",C456=0,F456=""),"",F456/C456)</f>
        <v/>
      </c>
      <c r="H456" s="34" t="n"/>
    </row>
    <row r="457">
      <c r="A457" s="45" t="n"/>
      <c r="B457" s="34" t="n"/>
      <c r="C457" s="34" t="n"/>
      <c r="D457" s="46">
        <f>IF(B457="","",IFERROR(INDEX(Products!$B$2:$B$101,MATCH(B457,Products!$A$2:$A$101,0)),"Unknown SKU"))</f>
        <v/>
      </c>
      <c r="E457" s="34" t="n"/>
      <c r="F457" s="36" t="n"/>
      <c r="G457" s="44">
        <f>IF(OR(C457="",C457=0,F457=""),"",F457/C457)</f>
        <v/>
      </c>
      <c r="H457" s="34" t="n"/>
    </row>
    <row r="458">
      <c r="A458" s="45" t="n"/>
      <c r="B458" s="34" t="n"/>
      <c r="C458" s="34" t="n"/>
      <c r="D458" s="46">
        <f>IF(B458="","",IFERROR(INDEX(Products!$B$2:$B$101,MATCH(B458,Products!$A$2:$A$101,0)),"Unknown SKU"))</f>
        <v/>
      </c>
      <c r="E458" s="34" t="n"/>
      <c r="F458" s="36" t="n"/>
      <c r="G458" s="44">
        <f>IF(OR(C458="",C458=0,F458=""),"",F458/C458)</f>
        <v/>
      </c>
      <c r="H458" s="34" t="n"/>
    </row>
    <row r="459">
      <c r="A459" s="45" t="n"/>
      <c r="B459" s="34" t="n"/>
      <c r="C459" s="34" t="n"/>
      <c r="D459" s="46">
        <f>IF(B459="","",IFERROR(INDEX(Products!$B$2:$B$101,MATCH(B459,Products!$A$2:$A$101,0)),"Unknown SKU"))</f>
        <v/>
      </c>
      <c r="E459" s="34" t="n"/>
      <c r="F459" s="36" t="n"/>
      <c r="G459" s="44">
        <f>IF(OR(C459="",C459=0,F459=""),"",F459/C459)</f>
        <v/>
      </c>
      <c r="H459" s="34" t="n"/>
    </row>
    <row r="460">
      <c r="A460" s="45" t="n"/>
      <c r="B460" s="34" t="n"/>
      <c r="C460" s="34" t="n"/>
      <c r="D460" s="46">
        <f>IF(B460="","",IFERROR(INDEX(Products!$B$2:$B$101,MATCH(B460,Products!$A$2:$A$101,0)),"Unknown SKU"))</f>
        <v/>
      </c>
      <c r="E460" s="34" t="n"/>
      <c r="F460" s="36" t="n"/>
      <c r="G460" s="44">
        <f>IF(OR(C460="",C460=0,F460=""),"",F460/C460)</f>
        <v/>
      </c>
      <c r="H460" s="34" t="n"/>
    </row>
    <row r="461">
      <c r="A461" s="45" t="n"/>
      <c r="B461" s="34" t="n"/>
      <c r="C461" s="34" t="n"/>
      <c r="D461" s="46">
        <f>IF(B461="","",IFERROR(INDEX(Products!$B$2:$B$101,MATCH(B461,Products!$A$2:$A$101,0)),"Unknown SKU"))</f>
        <v/>
      </c>
      <c r="E461" s="34" t="n"/>
      <c r="F461" s="36" t="n"/>
      <c r="G461" s="44">
        <f>IF(OR(C461="",C461=0,F461=""),"",F461/C461)</f>
        <v/>
      </c>
      <c r="H461" s="34" t="n"/>
    </row>
    <row r="462">
      <c r="A462" s="45" t="n"/>
      <c r="B462" s="34" t="n"/>
      <c r="C462" s="34" t="n"/>
      <c r="D462" s="46">
        <f>IF(B462="","",IFERROR(INDEX(Products!$B$2:$B$101,MATCH(B462,Products!$A$2:$A$101,0)),"Unknown SKU"))</f>
        <v/>
      </c>
      <c r="E462" s="34" t="n"/>
      <c r="F462" s="36" t="n"/>
      <c r="G462" s="44">
        <f>IF(OR(C462="",C462=0,F462=""),"",F462/C462)</f>
        <v/>
      </c>
      <c r="H462" s="34" t="n"/>
    </row>
    <row r="463">
      <c r="A463" s="45" t="n"/>
      <c r="B463" s="34" t="n"/>
      <c r="C463" s="34" t="n"/>
      <c r="D463" s="46">
        <f>IF(B463="","",IFERROR(INDEX(Products!$B$2:$B$101,MATCH(B463,Products!$A$2:$A$101,0)),"Unknown SKU"))</f>
        <v/>
      </c>
      <c r="E463" s="34" t="n"/>
      <c r="F463" s="36" t="n"/>
      <c r="G463" s="44">
        <f>IF(OR(C463="",C463=0,F463=""),"",F463/C463)</f>
        <v/>
      </c>
      <c r="H463" s="34" t="n"/>
    </row>
    <row r="464">
      <c r="A464" s="45" t="n"/>
      <c r="B464" s="34" t="n"/>
      <c r="C464" s="34" t="n"/>
      <c r="D464" s="46">
        <f>IF(B464="","",IFERROR(INDEX(Products!$B$2:$B$101,MATCH(B464,Products!$A$2:$A$101,0)),"Unknown SKU"))</f>
        <v/>
      </c>
      <c r="E464" s="34" t="n"/>
      <c r="F464" s="36" t="n"/>
      <c r="G464" s="44">
        <f>IF(OR(C464="",C464=0,F464=""),"",F464/C464)</f>
        <v/>
      </c>
      <c r="H464" s="34" t="n"/>
    </row>
    <row r="465">
      <c r="A465" s="45" t="n"/>
      <c r="B465" s="34" t="n"/>
      <c r="C465" s="34" t="n"/>
      <c r="D465" s="46">
        <f>IF(B465="","",IFERROR(INDEX(Products!$B$2:$B$101,MATCH(B465,Products!$A$2:$A$101,0)),"Unknown SKU"))</f>
        <v/>
      </c>
      <c r="E465" s="34" t="n"/>
      <c r="F465" s="36" t="n"/>
      <c r="G465" s="44">
        <f>IF(OR(C465="",C465=0,F465=""),"",F465/C465)</f>
        <v/>
      </c>
      <c r="H465" s="34" t="n"/>
    </row>
    <row r="466">
      <c r="A466" s="45" t="n"/>
      <c r="B466" s="34" t="n"/>
      <c r="C466" s="34" t="n"/>
      <c r="D466" s="46">
        <f>IF(B466="","",IFERROR(INDEX(Products!$B$2:$B$101,MATCH(B466,Products!$A$2:$A$101,0)),"Unknown SKU"))</f>
        <v/>
      </c>
      <c r="E466" s="34" t="n"/>
      <c r="F466" s="36" t="n"/>
      <c r="G466" s="44">
        <f>IF(OR(C466="",C466=0,F466=""),"",F466/C466)</f>
        <v/>
      </c>
      <c r="H466" s="34" t="n"/>
    </row>
    <row r="467">
      <c r="A467" s="45" t="n"/>
      <c r="B467" s="34" t="n"/>
      <c r="C467" s="34" t="n"/>
      <c r="D467" s="46">
        <f>IF(B467="","",IFERROR(INDEX(Products!$B$2:$B$101,MATCH(B467,Products!$A$2:$A$101,0)),"Unknown SKU"))</f>
        <v/>
      </c>
      <c r="E467" s="34" t="n"/>
      <c r="F467" s="36" t="n"/>
      <c r="G467" s="44">
        <f>IF(OR(C467="",C467=0,F467=""),"",F467/C467)</f>
        <v/>
      </c>
      <c r="H467" s="34" t="n"/>
    </row>
    <row r="468">
      <c r="A468" s="45" t="n"/>
      <c r="B468" s="34" t="n"/>
      <c r="C468" s="34" t="n"/>
      <c r="D468" s="46">
        <f>IF(B468="","",IFERROR(INDEX(Products!$B$2:$B$101,MATCH(B468,Products!$A$2:$A$101,0)),"Unknown SKU"))</f>
        <v/>
      </c>
      <c r="E468" s="34" t="n"/>
      <c r="F468" s="36" t="n"/>
      <c r="G468" s="44">
        <f>IF(OR(C468="",C468=0,F468=""),"",F468/C468)</f>
        <v/>
      </c>
      <c r="H468" s="34" t="n"/>
    </row>
    <row r="469">
      <c r="A469" s="45" t="n"/>
      <c r="B469" s="34" t="n"/>
      <c r="C469" s="34" t="n"/>
      <c r="D469" s="46">
        <f>IF(B469="","",IFERROR(INDEX(Products!$B$2:$B$101,MATCH(B469,Products!$A$2:$A$101,0)),"Unknown SKU"))</f>
        <v/>
      </c>
      <c r="E469" s="34" t="n"/>
      <c r="F469" s="36" t="n"/>
      <c r="G469" s="44">
        <f>IF(OR(C469="",C469=0,F469=""),"",F469/C469)</f>
        <v/>
      </c>
      <c r="H469" s="34" t="n"/>
    </row>
    <row r="470">
      <c r="A470" s="45" t="n"/>
      <c r="B470" s="34" t="n"/>
      <c r="C470" s="34" t="n"/>
      <c r="D470" s="46">
        <f>IF(B470="","",IFERROR(INDEX(Products!$B$2:$B$101,MATCH(B470,Products!$A$2:$A$101,0)),"Unknown SKU"))</f>
        <v/>
      </c>
      <c r="E470" s="34" t="n"/>
      <c r="F470" s="36" t="n"/>
      <c r="G470" s="44">
        <f>IF(OR(C470="",C470=0,F470=""),"",F470/C470)</f>
        <v/>
      </c>
      <c r="H470" s="34" t="n"/>
    </row>
    <row r="471">
      <c r="A471" s="45" t="n"/>
      <c r="B471" s="34" t="n"/>
      <c r="C471" s="34" t="n"/>
      <c r="D471" s="46">
        <f>IF(B471="","",IFERROR(INDEX(Products!$B$2:$B$101,MATCH(B471,Products!$A$2:$A$101,0)),"Unknown SKU"))</f>
        <v/>
      </c>
      <c r="E471" s="34" t="n"/>
      <c r="F471" s="36" t="n"/>
      <c r="G471" s="44">
        <f>IF(OR(C471="",C471=0,F471=""),"",F471/C471)</f>
        <v/>
      </c>
      <c r="H471" s="34" t="n"/>
    </row>
    <row r="472">
      <c r="A472" s="45" t="n"/>
      <c r="B472" s="34" t="n"/>
      <c r="C472" s="34" t="n"/>
      <c r="D472" s="46">
        <f>IF(B472="","",IFERROR(INDEX(Products!$B$2:$B$101,MATCH(B472,Products!$A$2:$A$101,0)),"Unknown SKU"))</f>
        <v/>
      </c>
      <c r="E472" s="34" t="n"/>
      <c r="F472" s="36" t="n"/>
      <c r="G472" s="44">
        <f>IF(OR(C472="",C472=0,F472=""),"",F472/C472)</f>
        <v/>
      </c>
      <c r="H472" s="34" t="n"/>
    </row>
    <row r="473">
      <c r="A473" s="45" t="n"/>
      <c r="B473" s="34" t="n"/>
      <c r="C473" s="34" t="n"/>
      <c r="D473" s="46">
        <f>IF(B473="","",IFERROR(INDEX(Products!$B$2:$B$101,MATCH(B473,Products!$A$2:$A$101,0)),"Unknown SKU"))</f>
        <v/>
      </c>
      <c r="E473" s="34" t="n"/>
      <c r="F473" s="36" t="n"/>
      <c r="G473" s="44">
        <f>IF(OR(C473="",C473=0,F473=""),"",F473/C473)</f>
        <v/>
      </c>
      <c r="H473" s="34" t="n"/>
    </row>
    <row r="474">
      <c r="A474" s="45" t="n"/>
      <c r="B474" s="34" t="n"/>
      <c r="C474" s="34" t="n"/>
      <c r="D474" s="46">
        <f>IF(B474="","",IFERROR(INDEX(Products!$B$2:$B$101,MATCH(B474,Products!$A$2:$A$101,0)),"Unknown SKU"))</f>
        <v/>
      </c>
      <c r="E474" s="34" t="n"/>
      <c r="F474" s="36" t="n"/>
      <c r="G474" s="44">
        <f>IF(OR(C474="",C474=0,F474=""),"",F474/C474)</f>
        <v/>
      </c>
      <c r="H474" s="34" t="n"/>
    </row>
    <row r="475">
      <c r="A475" s="45" t="n"/>
      <c r="B475" s="34" t="n"/>
      <c r="C475" s="34" t="n"/>
      <c r="D475" s="46">
        <f>IF(B475="","",IFERROR(INDEX(Products!$B$2:$B$101,MATCH(B475,Products!$A$2:$A$101,0)),"Unknown SKU"))</f>
        <v/>
      </c>
      <c r="E475" s="34" t="n"/>
      <c r="F475" s="36" t="n"/>
      <c r="G475" s="44">
        <f>IF(OR(C475="",C475=0,F475=""),"",F475/C475)</f>
        <v/>
      </c>
      <c r="H475" s="34" t="n"/>
    </row>
    <row r="476">
      <c r="A476" s="45" t="n"/>
      <c r="B476" s="34" t="n"/>
      <c r="C476" s="34" t="n"/>
      <c r="D476" s="46">
        <f>IF(B476="","",IFERROR(INDEX(Products!$B$2:$B$101,MATCH(B476,Products!$A$2:$A$101,0)),"Unknown SKU"))</f>
        <v/>
      </c>
      <c r="E476" s="34" t="n"/>
      <c r="F476" s="36" t="n"/>
      <c r="G476" s="44">
        <f>IF(OR(C476="",C476=0,F476=""),"",F476/C476)</f>
        <v/>
      </c>
      <c r="H476" s="34" t="n"/>
    </row>
    <row r="477">
      <c r="A477" s="45" t="n"/>
      <c r="B477" s="34" t="n"/>
      <c r="C477" s="34" t="n"/>
      <c r="D477" s="46">
        <f>IF(B477="","",IFERROR(INDEX(Products!$B$2:$B$101,MATCH(B477,Products!$A$2:$A$101,0)),"Unknown SKU"))</f>
        <v/>
      </c>
      <c r="E477" s="34" t="n"/>
      <c r="F477" s="36" t="n"/>
      <c r="G477" s="44">
        <f>IF(OR(C477="",C477=0,F477=""),"",F477/C477)</f>
        <v/>
      </c>
      <c r="H477" s="34" t="n"/>
    </row>
    <row r="478">
      <c r="A478" s="45" t="n"/>
      <c r="B478" s="34" t="n"/>
      <c r="C478" s="34" t="n"/>
      <c r="D478" s="46">
        <f>IF(B478="","",IFERROR(INDEX(Products!$B$2:$B$101,MATCH(B478,Products!$A$2:$A$101,0)),"Unknown SKU"))</f>
        <v/>
      </c>
      <c r="E478" s="34" t="n"/>
      <c r="F478" s="36" t="n"/>
      <c r="G478" s="44">
        <f>IF(OR(C478="",C478=0,F478=""),"",F478/C478)</f>
        <v/>
      </c>
      <c r="H478" s="34" t="n"/>
    </row>
    <row r="479">
      <c r="A479" s="45" t="n"/>
      <c r="B479" s="34" t="n"/>
      <c r="C479" s="34" t="n"/>
      <c r="D479" s="46">
        <f>IF(B479="","",IFERROR(INDEX(Products!$B$2:$B$101,MATCH(B479,Products!$A$2:$A$101,0)),"Unknown SKU"))</f>
        <v/>
      </c>
      <c r="E479" s="34" t="n"/>
      <c r="F479" s="36" t="n"/>
      <c r="G479" s="44">
        <f>IF(OR(C479="",C479=0,F479=""),"",F479/C479)</f>
        <v/>
      </c>
      <c r="H479" s="34" t="n"/>
    </row>
    <row r="480">
      <c r="A480" s="45" t="n"/>
      <c r="B480" s="34" t="n"/>
      <c r="C480" s="34" t="n"/>
      <c r="D480" s="46">
        <f>IF(B480="","",IFERROR(INDEX(Products!$B$2:$B$101,MATCH(B480,Products!$A$2:$A$101,0)),"Unknown SKU"))</f>
        <v/>
      </c>
      <c r="E480" s="34" t="n"/>
      <c r="F480" s="36" t="n"/>
      <c r="G480" s="44">
        <f>IF(OR(C480="",C480=0,F480=""),"",F480/C480)</f>
        <v/>
      </c>
      <c r="H480" s="34" t="n"/>
    </row>
    <row r="481">
      <c r="A481" s="45" t="n"/>
      <c r="B481" s="34" t="n"/>
      <c r="C481" s="34" t="n"/>
      <c r="D481" s="46">
        <f>IF(B481="","",IFERROR(INDEX(Products!$B$2:$B$101,MATCH(B481,Products!$A$2:$A$101,0)),"Unknown SKU"))</f>
        <v/>
      </c>
      <c r="E481" s="34" t="n"/>
      <c r="F481" s="36" t="n"/>
      <c r="G481" s="44">
        <f>IF(OR(C481="",C481=0,F481=""),"",F481/C481)</f>
        <v/>
      </c>
      <c r="H481" s="34" t="n"/>
    </row>
    <row r="482">
      <c r="A482" s="45" t="n"/>
      <c r="B482" s="34" t="n"/>
      <c r="C482" s="34" t="n"/>
      <c r="D482" s="46">
        <f>IF(B482="","",IFERROR(INDEX(Products!$B$2:$B$101,MATCH(B482,Products!$A$2:$A$101,0)),"Unknown SKU"))</f>
        <v/>
      </c>
      <c r="E482" s="34" t="n"/>
      <c r="F482" s="36" t="n"/>
      <c r="G482" s="44">
        <f>IF(OR(C482="",C482=0,F482=""),"",F482/C482)</f>
        <v/>
      </c>
      <c r="H482" s="34" t="n"/>
    </row>
    <row r="483">
      <c r="A483" s="45" t="n"/>
      <c r="B483" s="34" t="n"/>
      <c r="C483" s="34" t="n"/>
      <c r="D483" s="46">
        <f>IF(B483="","",IFERROR(INDEX(Products!$B$2:$B$101,MATCH(B483,Products!$A$2:$A$101,0)),"Unknown SKU"))</f>
        <v/>
      </c>
      <c r="E483" s="34" t="n"/>
      <c r="F483" s="36" t="n"/>
      <c r="G483" s="44">
        <f>IF(OR(C483="",C483=0,F483=""),"",F483/C483)</f>
        <v/>
      </c>
      <c r="H483" s="34" t="n"/>
    </row>
    <row r="484">
      <c r="A484" s="45" t="n"/>
      <c r="B484" s="34" t="n"/>
      <c r="C484" s="34" t="n"/>
      <c r="D484" s="46">
        <f>IF(B484="","",IFERROR(INDEX(Products!$B$2:$B$101,MATCH(B484,Products!$A$2:$A$101,0)),"Unknown SKU"))</f>
        <v/>
      </c>
      <c r="E484" s="34" t="n"/>
      <c r="F484" s="36" t="n"/>
      <c r="G484" s="44">
        <f>IF(OR(C484="",C484=0,F484=""),"",F484/C484)</f>
        <v/>
      </c>
      <c r="H484" s="34" t="n"/>
    </row>
    <row r="485">
      <c r="A485" s="45" t="n"/>
      <c r="B485" s="34" t="n"/>
      <c r="C485" s="34" t="n"/>
      <c r="D485" s="46">
        <f>IF(B485="","",IFERROR(INDEX(Products!$B$2:$B$101,MATCH(B485,Products!$A$2:$A$101,0)),"Unknown SKU"))</f>
        <v/>
      </c>
      <c r="E485" s="34" t="n"/>
      <c r="F485" s="36" t="n"/>
      <c r="G485" s="44">
        <f>IF(OR(C485="",C485=0,F485=""),"",F485/C485)</f>
        <v/>
      </c>
      <c r="H485" s="34" t="n"/>
    </row>
    <row r="486">
      <c r="A486" s="45" t="n"/>
      <c r="B486" s="34" t="n"/>
      <c r="C486" s="34" t="n"/>
      <c r="D486" s="46">
        <f>IF(B486="","",IFERROR(INDEX(Products!$B$2:$B$101,MATCH(B486,Products!$A$2:$A$101,0)),"Unknown SKU"))</f>
        <v/>
      </c>
      <c r="E486" s="34" t="n"/>
      <c r="F486" s="36" t="n"/>
      <c r="G486" s="44">
        <f>IF(OR(C486="",C486=0,F486=""),"",F486/C486)</f>
        <v/>
      </c>
      <c r="H486" s="34" t="n"/>
    </row>
    <row r="487">
      <c r="A487" s="45" t="n"/>
      <c r="B487" s="34" t="n"/>
      <c r="C487" s="34" t="n"/>
      <c r="D487" s="46">
        <f>IF(B487="","",IFERROR(INDEX(Products!$B$2:$B$101,MATCH(B487,Products!$A$2:$A$101,0)),"Unknown SKU"))</f>
        <v/>
      </c>
      <c r="E487" s="34" t="n"/>
      <c r="F487" s="36" t="n"/>
      <c r="G487" s="44">
        <f>IF(OR(C487="",C487=0,F487=""),"",F487/C487)</f>
        <v/>
      </c>
      <c r="H487" s="34" t="n"/>
    </row>
    <row r="488">
      <c r="A488" s="45" t="n"/>
      <c r="B488" s="34" t="n"/>
      <c r="C488" s="34" t="n"/>
      <c r="D488" s="46">
        <f>IF(B488="","",IFERROR(INDEX(Products!$B$2:$B$101,MATCH(B488,Products!$A$2:$A$101,0)),"Unknown SKU"))</f>
        <v/>
      </c>
      <c r="E488" s="34" t="n"/>
      <c r="F488" s="36" t="n"/>
      <c r="G488" s="44">
        <f>IF(OR(C488="",C488=0,F488=""),"",F488/C488)</f>
        <v/>
      </c>
      <c r="H488" s="34" t="n"/>
    </row>
    <row r="489">
      <c r="A489" s="45" t="n"/>
      <c r="B489" s="34" t="n"/>
      <c r="C489" s="34" t="n"/>
      <c r="D489" s="46">
        <f>IF(B489="","",IFERROR(INDEX(Products!$B$2:$B$101,MATCH(B489,Products!$A$2:$A$101,0)),"Unknown SKU"))</f>
        <v/>
      </c>
      <c r="E489" s="34" t="n"/>
      <c r="F489" s="36" t="n"/>
      <c r="G489" s="44">
        <f>IF(OR(C489="",C489=0,F489=""),"",F489/C489)</f>
        <v/>
      </c>
      <c r="H489" s="34" t="n"/>
    </row>
    <row r="490">
      <c r="A490" s="45" t="n"/>
      <c r="B490" s="34" t="n"/>
      <c r="C490" s="34" t="n"/>
      <c r="D490" s="46">
        <f>IF(B490="","",IFERROR(INDEX(Products!$B$2:$B$101,MATCH(B490,Products!$A$2:$A$101,0)),"Unknown SKU"))</f>
        <v/>
      </c>
      <c r="E490" s="34" t="n"/>
      <c r="F490" s="36" t="n"/>
      <c r="G490" s="44">
        <f>IF(OR(C490="",C490=0,F490=""),"",F490/C490)</f>
        <v/>
      </c>
      <c r="H490" s="34" t="n"/>
    </row>
    <row r="491">
      <c r="A491" s="45" t="n"/>
      <c r="B491" s="34" t="n"/>
      <c r="C491" s="34" t="n"/>
      <c r="D491" s="46">
        <f>IF(B491="","",IFERROR(INDEX(Products!$B$2:$B$101,MATCH(B491,Products!$A$2:$A$101,0)),"Unknown SKU"))</f>
        <v/>
      </c>
      <c r="E491" s="34" t="n"/>
      <c r="F491" s="36" t="n"/>
      <c r="G491" s="44">
        <f>IF(OR(C491="",C491=0,F491=""),"",F491/C491)</f>
        <v/>
      </c>
      <c r="H491" s="34" t="n"/>
    </row>
    <row r="492">
      <c r="A492" s="45" t="n"/>
      <c r="B492" s="34" t="n"/>
      <c r="C492" s="34" t="n"/>
      <c r="D492" s="46">
        <f>IF(B492="","",IFERROR(INDEX(Products!$B$2:$B$101,MATCH(B492,Products!$A$2:$A$101,0)),"Unknown SKU"))</f>
        <v/>
      </c>
      <c r="E492" s="34" t="n"/>
      <c r="F492" s="36" t="n"/>
      <c r="G492" s="44">
        <f>IF(OR(C492="",C492=0,F492=""),"",F492/C492)</f>
        <v/>
      </c>
      <c r="H492" s="34" t="n"/>
    </row>
    <row r="493">
      <c r="A493" s="45" t="n"/>
      <c r="B493" s="34" t="n"/>
      <c r="C493" s="34" t="n"/>
      <c r="D493" s="46">
        <f>IF(B493="","",IFERROR(INDEX(Products!$B$2:$B$101,MATCH(B493,Products!$A$2:$A$101,0)),"Unknown SKU"))</f>
        <v/>
      </c>
      <c r="E493" s="34" t="n"/>
      <c r="F493" s="36" t="n"/>
      <c r="G493" s="44">
        <f>IF(OR(C493="",C493=0,F493=""),"",F493/C493)</f>
        <v/>
      </c>
      <c r="H493" s="34" t="n"/>
    </row>
    <row r="494">
      <c r="A494" s="45" t="n"/>
      <c r="B494" s="34" t="n"/>
      <c r="C494" s="34" t="n"/>
      <c r="D494" s="46">
        <f>IF(B494="","",IFERROR(INDEX(Products!$B$2:$B$101,MATCH(B494,Products!$A$2:$A$101,0)),"Unknown SKU"))</f>
        <v/>
      </c>
      <c r="E494" s="34" t="n"/>
      <c r="F494" s="36" t="n"/>
      <c r="G494" s="44">
        <f>IF(OR(C494="",C494=0,F494=""),"",F494/C494)</f>
        <v/>
      </c>
      <c r="H494" s="34" t="n"/>
    </row>
    <row r="495">
      <c r="A495" s="45" t="n"/>
      <c r="B495" s="34" t="n"/>
      <c r="C495" s="34" t="n"/>
      <c r="D495" s="46">
        <f>IF(B495="","",IFERROR(INDEX(Products!$B$2:$B$101,MATCH(B495,Products!$A$2:$A$101,0)),"Unknown SKU"))</f>
        <v/>
      </c>
      <c r="E495" s="34" t="n"/>
      <c r="F495" s="36" t="n"/>
      <c r="G495" s="44">
        <f>IF(OR(C495="",C495=0,F495=""),"",F495/C495)</f>
        <v/>
      </c>
      <c r="H495" s="34" t="n"/>
    </row>
    <row r="496">
      <c r="A496" s="45" t="n"/>
      <c r="B496" s="34" t="n"/>
      <c r="C496" s="34" t="n"/>
      <c r="D496" s="46">
        <f>IF(B496="","",IFERROR(INDEX(Products!$B$2:$B$101,MATCH(B496,Products!$A$2:$A$101,0)),"Unknown SKU"))</f>
        <v/>
      </c>
      <c r="E496" s="34" t="n"/>
      <c r="F496" s="36" t="n"/>
      <c r="G496" s="44">
        <f>IF(OR(C496="",C496=0,F496=""),"",F496/C496)</f>
        <v/>
      </c>
      <c r="H496" s="34" t="n"/>
    </row>
    <row r="497">
      <c r="A497" s="45" t="n"/>
      <c r="B497" s="34" t="n"/>
      <c r="C497" s="34" t="n"/>
      <c r="D497" s="46">
        <f>IF(B497="","",IFERROR(INDEX(Products!$B$2:$B$101,MATCH(B497,Products!$A$2:$A$101,0)),"Unknown SKU"))</f>
        <v/>
      </c>
      <c r="E497" s="34" t="n"/>
      <c r="F497" s="36" t="n"/>
      <c r="G497" s="44">
        <f>IF(OR(C497="",C497=0,F497=""),"",F497/C497)</f>
        <v/>
      </c>
      <c r="H497" s="34" t="n"/>
    </row>
    <row r="498">
      <c r="A498" s="45" t="n"/>
      <c r="B498" s="34" t="n"/>
      <c r="C498" s="34" t="n"/>
      <c r="D498" s="46">
        <f>IF(B498="","",IFERROR(INDEX(Products!$B$2:$B$101,MATCH(B498,Products!$A$2:$A$101,0)),"Unknown SKU"))</f>
        <v/>
      </c>
      <c r="E498" s="34" t="n"/>
      <c r="F498" s="36" t="n"/>
      <c r="G498" s="44">
        <f>IF(OR(C498="",C498=0,F498=""),"",F498/C498)</f>
        <v/>
      </c>
      <c r="H498" s="34" t="n"/>
    </row>
    <row r="499">
      <c r="A499" s="45" t="n"/>
      <c r="B499" s="34" t="n"/>
      <c r="C499" s="34" t="n"/>
      <c r="D499" s="46">
        <f>IF(B499="","",IFERROR(INDEX(Products!$B$2:$B$101,MATCH(B499,Products!$A$2:$A$101,0)),"Unknown SKU"))</f>
        <v/>
      </c>
      <c r="E499" s="34" t="n"/>
      <c r="F499" s="36" t="n"/>
      <c r="G499" s="44">
        <f>IF(OR(C499="",C499=0,F499=""),"",F499/C499)</f>
        <v/>
      </c>
      <c r="H499" s="34" t="n"/>
    </row>
    <row r="500">
      <c r="A500" s="45" t="n"/>
      <c r="B500" s="34" t="n"/>
      <c r="C500" s="34" t="n"/>
      <c r="D500" s="46">
        <f>IF(B500="","",IFERROR(INDEX(Products!$B$2:$B$101,MATCH(B500,Products!$A$2:$A$101,0)),"Unknown SKU"))</f>
        <v/>
      </c>
      <c r="E500" s="34" t="n"/>
      <c r="F500" s="36" t="n"/>
      <c r="G500" s="44">
        <f>IF(OR(C500="",C500=0,F500=""),"",F500/C500)</f>
        <v/>
      </c>
      <c r="H500" s="34" t="n"/>
    </row>
    <row r="501">
      <c r="A501" s="45" t="n"/>
      <c r="B501" s="34" t="n"/>
      <c r="C501" s="34" t="n"/>
      <c r="D501" s="46">
        <f>IF(B501="","",IFERROR(INDEX(Products!$B$2:$B$101,MATCH(B501,Products!$A$2:$A$101,0)),"Unknown SKU"))</f>
        <v/>
      </c>
      <c r="E501" s="34" t="n"/>
      <c r="F501" s="36" t="n"/>
      <c r="G501" s="44">
        <f>IF(OR(C501="",C501=0,F501=""),"",F501/C501)</f>
        <v/>
      </c>
      <c r="H501" s="34" t="n"/>
    </row>
  </sheetData>
  <dataValidations count="1">
    <dataValidation sqref="B2:B501" showDropDown="0" showInputMessage="0" showErrorMessage="0" allowBlank="1" type="list">
      <formula1>=Products!$A$2:$A$101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20" customWidth="1" min="4" max="4"/>
    <col width="15" customWidth="1" min="5" max="5"/>
    <col width="16" customWidth="1" min="6" max="6"/>
    <col width="12" customWidth="1" min="7" max="7"/>
    <col width="6" customWidth="1" min="8" max="8"/>
    <col width="12" customWidth="1" min="9" max="9"/>
    <col width="24" customWidth="1" min="10" max="10"/>
    <col width="17" customWidth="1" min="11" max="11"/>
    <col width="15" customWidth="1" min="12" max="12"/>
    <col width="13" customWidth="1" min="13" max="13"/>
    <col width="13" customWidth="1" min="14" max="14"/>
    <col width="13" customWidth="1" min="15" max="15"/>
    <col width="12" customWidth="1" min="16" max="16"/>
    <col width="13" customWidth="1" min="17" max="17"/>
    <col width="13" customWidth="1" min="18" max="18"/>
    <col width="11" customWidth="1" min="19" max="19"/>
    <col width="30" customWidth="1" min="20" max="20"/>
  </cols>
  <sheetData>
    <row r="1" ht="30" customHeight="1">
      <c r="A1" s="33" t="inlineStr">
        <is>
          <t>Order ID</t>
        </is>
      </c>
      <c r="B1" s="33" t="inlineStr">
        <is>
          <t>Date</t>
        </is>
      </c>
      <c r="C1" s="33" t="inlineStr">
        <is>
          <t>Channel</t>
        </is>
      </c>
      <c r="D1" s="33" t="inlineStr">
        <is>
          <t>Customer name</t>
        </is>
      </c>
      <c r="E1" s="33" t="inlineStr">
        <is>
          <t>Phone</t>
        </is>
      </c>
      <c r="F1" s="33" t="inlineStr">
        <is>
          <t>City / area</t>
        </is>
      </c>
      <c r="G1" s="33" t="inlineStr">
        <is>
          <t>SKU</t>
        </is>
      </c>
      <c r="H1" s="33" t="inlineStr">
        <is>
          <t>Qty</t>
        </is>
      </c>
      <c r="I1" s="33" t="inlineStr">
        <is>
          <t>Unit price (₦)</t>
        </is>
      </c>
      <c r="J1" s="33" t="inlineStr">
        <is>
          <t>Product name</t>
        </is>
      </c>
      <c r="K1" s="33" t="inlineStr">
        <is>
          <t>Status</t>
        </is>
      </c>
      <c r="L1" s="33" t="inlineStr">
        <is>
          <t>Payment status</t>
        </is>
      </c>
      <c r="M1" s="33" t="inlineStr">
        <is>
          <t>Delivery fee charged (₦)</t>
        </is>
      </c>
      <c r="N1" s="33" t="inlineStr">
        <is>
          <t>Delivery cost paid (₦)</t>
        </is>
      </c>
      <c r="O1" s="33" t="inlineStr">
        <is>
          <t>Order total (₦)</t>
        </is>
      </c>
      <c r="P1" s="33" t="inlineStr">
        <is>
          <t>Channel fee (₦)</t>
        </is>
      </c>
      <c r="Q1" s="33" t="inlineStr">
        <is>
          <t>Product cost (₦)</t>
        </is>
      </c>
      <c r="R1" s="33" t="inlineStr">
        <is>
          <t>Profit (₦)</t>
        </is>
      </c>
      <c r="S1" s="33" t="inlineStr">
        <is>
          <t>New / repeat</t>
        </is>
      </c>
      <c r="T1" s="33" t="inlineStr">
        <is>
          <t>Notes</t>
        </is>
      </c>
    </row>
    <row r="2">
      <c r="A2" s="34" t="inlineStr">
        <is>
          <t>CG-0001</t>
        </is>
      </c>
      <c r="B2" s="45" t="n">
        <v>46298</v>
      </c>
      <c r="C2" s="34" t="inlineStr">
        <is>
          <t>Instagram</t>
        </is>
      </c>
      <c r="D2" s="34" t="inlineStr">
        <is>
          <t>Example customer 1</t>
        </is>
      </c>
      <c r="E2" s="47" t="inlineStr">
        <is>
          <t>08030000001</t>
        </is>
      </c>
      <c r="F2" s="34" t="inlineStr">
        <is>
          <t>Lekki</t>
        </is>
      </c>
      <c r="G2" s="34" t="inlineStr">
        <is>
          <t>EX-BON-01</t>
        </is>
      </c>
      <c r="H2" s="34" t="n">
        <v>2</v>
      </c>
      <c r="I2" s="36" t="n">
        <v>7500</v>
      </c>
      <c r="J2" s="46">
        <f>IF(G2="","",IFERROR(INDEX(Products!$B$2:$B$101,MATCH(G2,Products!$A$2:$A$101,0)),"Unknown SKU"))</f>
        <v/>
      </c>
      <c r="K2" s="34" t="inlineStr">
        <is>
          <t>Delivered</t>
        </is>
      </c>
      <c r="L2" s="34" t="inlineStr">
        <is>
          <t>Paid</t>
        </is>
      </c>
      <c r="M2" s="36" t="n">
        <v>2000</v>
      </c>
      <c r="N2" s="36" t="n">
        <v>2500</v>
      </c>
      <c r="O2" s="44">
        <f>IF(OR(H2="",I2=""),"",H2*I2)</f>
        <v/>
      </c>
      <c r="P2" s="44">
        <f>IF(O2="","",O2*IFERROR(INDEX(Settings!$B$8:$B$15,MATCH(C2,Settings!$A$8:$A$15,0)),0))</f>
        <v/>
      </c>
      <c r="Q2" s="44">
        <f>IF(OR(G2="",H2=""),"",H2*IFERROR(INDEX(Products!$J$2:$J$101,MATCH(G2,Products!$A$2:$A$101,0)),0))</f>
        <v/>
      </c>
      <c r="R2" s="44">
        <f>IF(K2="Delivered",N(O2)+N(M2)-N(N2)-N(P2)-N(Q2),IF(OR(K2="Returned",K2="Failed delivery"),-N(N2),""))</f>
        <v/>
      </c>
      <c r="S2">
        <f>IF(E2="","",IF(MATCH(E2,$E$2:E2,0)&lt;ROWS($E$2:E2),"Repeat","New"))</f>
        <v/>
      </c>
      <c r="T2" s="34" t="n"/>
    </row>
    <row r="3">
      <c r="A3" s="34" t="inlineStr">
        <is>
          <t>CG-0002</t>
        </is>
      </c>
      <c r="B3" s="45" t="n">
        <v>46300</v>
      </c>
      <c r="C3" s="34" t="inlineStr">
        <is>
          <t>WhatsApp</t>
        </is>
      </c>
      <c r="D3" s="34" t="inlineStr">
        <is>
          <t>Example customer 2</t>
        </is>
      </c>
      <c r="E3" s="47" t="inlineStr">
        <is>
          <t>08030000002</t>
        </is>
      </c>
      <c r="F3" s="34" t="inlineStr">
        <is>
          <t>Ikeja</t>
        </is>
      </c>
      <c r="G3" s="34" t="inlineStr">
        <is>
          <t>EX-EDG-01</t>
        </is>
      </c>
      <c r="H3" s="34" t="n">
        <v>1</v>
      </c>
      <c r="I3" s="36" t="n">
        <v>5000</v>
      </c>
      <c r="J3" s="46">
        <f>IF(G3="","",IFERROR(INDEX(Products!$B$2:$B$101,MATCH(G3,Products!$A$2:$A$101,0)),"Unknown SKU"))</f>
        <v/>
      </c>
      <c r="K3" s="34" t="inlineStr">
        <is>
          <t>Shipped</t>
        </is>
      </c>
      <c r="L3" s="34" t="inlineStr">
        <is>
          <t>Pay on delivery</t>
        </is>
      </c>
      <c r="M3" s="36" t="n">
        <v>1500</v>
      </c>
      <c r="N3" s="36" t="n">
        <v>2000</v>
      </c>
      <c r="O3" s="44">
        <f>IF(OR(H3="",I3=""),"",H3*I3)</f>
        <v/>
      </c>
      <c r="P3" s="44">
        <f>IF(O3="","",O3*IFERROR(INDEX(Settings!$B$8:$B$15,MATCH(C3,Settings!$A$8:$A$15,0)),0))</f>
        <v/>
      </c>
      <c r="Q3" s="44">
        <f>IF(OR(G3="",H3=""),"",H3*IFERROR(INDEX(Products!$J$2:$J$101,MATCH(G3,Products!$A$2:$A$101,0)),0))</f>
        <v/>
      </c>
      <c r="R3" s="44">
        <f>IF(K3="Delivered",N(O3)+N(M3)-N(N3)-N(P3)-N(Q3),IF(OR(K3="Returned",K3="Failed delivery"),-N(N3),""))</f>
        <v/>
      </c>
      <c r="S3">
        <f>IF(E3="","",IF(MATCH(E3,$E$2:E3,0)&lt;ROWS($E$2:E3),"Repeat","New"))</f>
        <v/>
      </c>
      <c r="T3" s="34" t="n"/>
    </row>
    <row r="4">
      <c r="A4" s="34" t="inlineStr">
        <is>
          <t>CG-0003</t>
        </is>
      </c>
      <c r="B4" s="45" t="n">
        <v>46304</v>
      </c>
      <c r="C4" s="34" t="inlineStr">
        <is>
          <t>Jumia</t>
        </is>
      </c>
      <c r="D4" s="34" t="inlineStr">
        <is>
          <t>Example customer 3</t>
        </is>
      </c>
      <c r="E4" s="47" t="inlineStr">
        <is>
          <t>08030000003</t>
        </is>
      </c>
      <c r="F4" s="34" t="inlineStr">
        <is>
          <t>Abuja</t>
        </is>
      </c>
      <c r="G4" s="34" t="inlineStr">
        <is>
          <t>EX-SCR-01</t>
        </is>
      </c>
      <c r="H4" s="34" t="n">
        <v>3</v>
      </c>
      <c r="I4" s="36" t="n">
        <v>6000</v>
      </c>
      <c r="J4" s="46">
        <f>IF(G4="","",IFERROR(INDEX(Products!$B$2:$B$101,MATCH(G4,Products!$A$2:$A$101,0)),"Unknown SKU"))</f>
        <v/>
      </c>
      <c r="K4" s="34" t="inlineStr">
        <is>
          <t>Delivered</t>
        </is>
      </c>
      <c r="L4" s="34" t="inlineStr">
        <is>
          <t>Paid</t>
        </is>
      </c>
      <c r="M4" s="36" t="n">
        <v>0</v>
      </c>
      <c r="N4" s="36" t="n">
        <v>0</v>
      </c>
      <c r="O4" s="44">
        <f>IF(OR(H4="",I4=""),"",H4*I4)</f>
        <v/>
      </c>
      <c r="P4" s="44">
        <f>IF(O4="","",O4*IFERROR(INDEX(Settings!$B$8:$B$15,MATCH(C4,Settings!$A$8:$A$15,0)),0))</f>
        <v/>
      </c>
      <c r="Q4" s="44">
        <f>IF(OR(G4="",H4=""),"",H4*IFERROR(INDEX(Products!$J$2:$J$101,MATCH(G4,Products!$A$2:$A$101,0)),0))</f>
        <v/>
      </c>
      <c r="R4" s="44">
        <f>IF(K4="Delivered",N(O4)+N(M4)-N(N4)-N(P4)-N(Q4),IF(OR(K4="Returned",K4="Failed delivery"),-N(N4),""))</f>
        <v/>
      </c>
      <c r="S4">
        <f>IF(E4="","",IF(MATCH(E4,$E$2:E4,0)&lt;ROWS($E$2:E4),"Repeat","New"))</f>
        <v/>
      </c>
      <c r="T4" s="34" t="n"/>
    </row>
    <row r="5">
      <c r="A5" s="34" t="inlineStr">
        <is>
          <t>CG-0004</t>
        </is>
      </c>
      <c r="B5" s="45" t="n">
        <v>46309</v>
      </c>
      <c r="C5" s="34" t="inlineStr">
        <is>
          <t>Instagram</t>
        </is>
      </c>
      <c r="D5" s="34" t="inlineStr">
        <is>
          <t>Example customer 1</t>
        </is>
      </c>
      <c r="E5" s="47" t="inlineStr">
        <is>
          <t>08030000001</t>
        </is>
      </c>
      <c r="F5" s="34" t="inlineStr">
        <is>
          <t>Lekki</t>
        </is>
      </c>
      <c r="G5" s="34" t="inlineStr">
        <is>
          <t>EX-SCR-01</t>
        </is>
      </c>
      <c r="H5" s="34" t="n">
        <v>1</v>
      </c>
      <c r="I5" s="36" t="n">
        <v>6000</v>
      </c>
      <c r="J5" s="46">
        <f>IF(G5="","",IFERROR(INDEX(Products!$B$2:$B$101,MATCH(G5,Products!$A$2:$A$101,0)),"Unknown SKU"))</f>
        <v/>
      </c>
      <c r="K5" s="34" t="inlineStr">
        <is>
          <t>Delivered</t>
        </is>
      </c>
      <c r="L5" s="34" t="inlineStr">
        <is>
          <t>Paid</t>
        </is>
      </c>
      <c r="M5" s="36" t="n">
        <v>2000</v>
      </c>
      <c r="N5" s="36" t="n">
        <v>2500</v>
      </c>
      <c r="O5" s="44">
        <f>IF(OR(H5="",I5=""),"",H5*I5)</f>
        <v/>
      </c>
      <c r="P5" s="44">
        <f>IF(O5="","",O5*IFERROR(INDEX(Settings!$B$8:$B$15,MATCH(C5,Settings!$A$8:$A$15,0)),0))</f>
        <v/>
      </c>
      <c r="Q5" s="44">
        <f>IF(OR(G5="",H5=""),"",H5*IFERROR(INDEX(Products!$J$2:$J$101,MATCH(G5,Products!$A$2:$A$101,0)),0))</f>
        <v/>
      </c>
      <c r="R5" s="44">
        <f>IF(K5="Delivered",N(O5)+N(M5)-N(N5)-N(P5)-N(Q5),IF(OR(K5="Returned",K5="Failed delivery"),-N(N5),""))</f>
        <v/>
      </c>
      <c r="S5">
        <f>IF(E5="","",IF(MATCH(E5,$E$2:E5,0)&lt;ROWS($E$2:E5),"Repeat","New"))</f>
        <v/>
      </c>
      <c r="T5" s="34" t="n"/>
    </row>
    <row r="6">
      <c r="A6" s="34" t="inlineStr">
        <is>
          <t>CG-0005</t>
        </is>
      </c>
      <c r="B6" s="45" t="n">
        <v>46311</v>
      </c>
      <c r="C6" s="34" t="inlineStr">
        <is>
          <t>TikTok</t>
        </is>
      </c>
      <c r="D6" s="34" t="inlineStr">
        <is>
          <t>Example customer 4</t>
        </is>
      </c>
      <c r="E6" s="47" t="inlineStr">
        <is>
          <t>08030000004</t>
        </is>
      </c>
      <c r="F6" s="34" t="inlineStr">
        <is>
          <t>Yaba</t>
        </is>
      </c>
      <c r="G6" s="34" t="inlineStr">
        <is>
          <t>EX-EDG-01</t>
        </is>
      </c>
      <c r="H6" s="34" t="n">
        <v>1</v>
      </c>
      <c r="I6" s="36" t="n">
        <v>5000</v>
      </c>
      <c r="J6" s="46">
        <f>IF(G6="","",IFERROR(INDEX(Products!$B$2:$B$101,MATCH(G6,Products!$A$2:$A$101,0)),"Unknown SKU"))</f>
        <v/>
      </c>
      <c r="K6" s="34" t="inlineStr">
        <is>
          <t>Returned</t>
        </is>
      </c>
      <c r="L6" s="34" t="inlineStr">
        <is>
          <t>Refunded</t>
        </is>
      </c>
      <c r="M6" s="36" t="n">
        <v>1500</v>
      </c>
      <c r="N6" s="36" t="n">
        <v>2000</v>
      </c>
      <c r="O6" s="44">
        <f>IF(OR(H6="",I6=""),"",H6*I6)</f>
        <v/>
      </c>
      <c r="P6" s="44">
        <f>IF(O6="","",O6*IFERROR(INDEX(Settings!$B$8:$B$15,MATCH(C6,Settings!$A$8:$A$15,0)),0))</f>
        <v/>
      </c>
      <c r="Q6" s="44">
        <f>IF(OR(G6="",H6=""),"",H6*IFERROR(INDEX(Products!$J$2:$J$101,MATCH(G6,Products!$A$2:$A$101,0)),0))</f>
        <v/>
      </c>
      <c r="R6" s="44">
        <f>IF(K6="Delivered",N(O6)+N(M6)-N(N6)-N(P6)-N(Q6),IF(OR(K6="Returned",K6="Failed delivery"),-N(N6),""))</f>
        <v/>
      </c>
      <c r="S6">
        <f>IF(E6="","",IF(MATCH(E6,$E$2:E6,0)&lt;ROWS($E$2:E6),"Repeat","New"))</f>
        <v/>
      </c>
      <c r="T6" s="34" t="n"/>
    </row>
    <row r="7">
      <c r="A7" s="34" t="n"/>
      <c r="B7" s="45" t="n"/>
      <c r="C7" s="34" t="n"/>
      <c r="D7" s="34" t="n"/>
      <c r="E7" s="47" t="n"/>
      <c r="F7" s="34" t="n"/>
      <c r="G7" s="34" t="n"/>
      <c r="H7" s="34" t="n"/>
      <c r="I7" s="36" t="n"/>
      <c r="J7" s="46">
        <f>IF(G7="","",IFERROR(INDEX(Products!$B$2:$B$101,MATCH(G7,Products!$A$2:$A$101,0)),"Unknown SKU"))</f>
        <v/>
      </c>
      <c r="K7" s="34" t="n"/>
      <c r="L7" s="34" t="n"/>
      <c r="M7" s="36" t="n"/>
      <c r="N7" s="36" t="n"/>
      <c r="O7" s="44">
        <f>IF(OR(H7="",I7=""),"",H7*I7)</f>
        <v/>
      </c>
      <c r="P7" s="44">
        <f>IF(O7="","",O7*IFERROR(INDEX(Settings!$B$8:$B$15,MATCH(C7,Settings!$A$8:$A$15,0)),0))</f>
        <v/>
      </c>
      <c r="Q7" s="44">
        <f>IF(OR(G7="",H7=""),"",H7*IFERROR(INDEX(Products!$J$2:$J$101,MATCH(G7,Products!$A$2:$A$101,0)),0))</f>
        <v/>
      </c>
      <c r="R7" s="44">
        <f>IF(K7="Delivered",N(O7)+N(M7)-N(N7)-N(P7)-N(Q7),IF(OR(K7="Returned",K7="Failed delivery"),-N(N7),""))</f>
        <v/>
      </c>
      <c r="S7">
        <f>IF(E7="","",IF(MATCH(E7,$E$2:E7,0)&lt;ROWS($E$2:E7),"Repeat","New"))</f>
        <v/>
      </c>
      <c r="T7" s="34" t="n"/>
    </row>
    <row r="8">
      <c r="A8" s="34" t="n"/>
      <c r="B8" s="45" t="n"/>
      <c r="C8" s="34" t="n"/>
      <c r="D8" s="34" t="n"/>
      <c r="E8" s="47" t="n"/>
      <c r="F8" s="34" t="n"/>
      <c r="G8" s="34" t="n"/>
      <c r="H8" s="34" t="n"/>
      <c r="I8" s="36" t="n"/>
      <c r="J8" s="46">
        <f>IF(G8="","",IFERROR(INDEX(Products!$B$2:$B$101,MATCH(G8,Products!$A$2:$A$101,0)),"Unknown SKU"))</f>
        <v/>
      </c>
      <c r="K8" s="34" t="n"/>
      <c r="L8" s="34" t="n"/>
      <c r="M8" s="36" t="n"/>
      <c r="N8" s="36" t="n"/>
      <c r="O8" s="44">
        <f>IF(OR(H8="",I8=""),"",H8*I8)</f>
        <v/>
      </c>
      <c r="P8" s="44">
        <f>IF(O8="","",O8*IFERROR(INDEX(Settings!$B$8:$B$15,MATCH(C8,Settings!$A$8:$A$15,0)),0))</f>
        <v/>
      </c>
      <c r="Q8" s="44">
        <f>IF(OR(G8="",H8=""),"",H8*IFERROR(INDEX(Products!$J$2:$J$101,MATCH(G8,Products!$A$2:$A$101,0)),0))</f>
        <v/>
      </c>
      <c r="R8" s="44">
        <f>IF(K8="Delivered",N(O8)+N(M8)-N(N8)-N(P8)-N(Q8),IF(OR(K8="Returned",K8="Failed delivery"),-N(N8),""))</f>
        <v/>
      </c>
      <c r="S8">
        <f>IF(E8="","",IF(MATCH(E8,$E$2:E8,0)&lt;ROWS($E$2:E8),"Repeat","New"))</f>
        <v/>
      </c>
      <c r="T8" s="34" t="n"/>
    </row>
    <row r="9">
      <c r="A9" s="34" t="n"/>
      <c r="B9" s="45" t="n"/>
      <c r="C9" s="34" t="n"/>
      <c r="D9" s="34" t="n"/>
      <c r="E9" s="47" t="n"/>
      <c r="F9" s="34" t="n"/>
      <c r="G9" s="34" t="n"/>
      <c r="H9" s="34" t="n"/>
      <c r="I9" s="36" t="n"/>
      <c r="J9" s="46">
        <f>IF(G9="","",IFERROR(INDEX(Products!$B$2:$B$101,MATCH(G9,Products!$A$2:$A$101,0)),"Unknown SKU"))</f>
        <v/>
      </c>
      <c r="K9" s="34" t="n"/>
      <c r="L9" s="34" t="n"/>
      <c r="M9" s="36" t="n"/>
      <c r="N9" s="36" t="n"/>
      <c r="O9" s="44">
        <f>IF(OR(H9="",I9=""),"",H9*I9)</f>
        <v/>
      </c>
      <c r="P9" s="44">
        <f>IF(O9="","",O9*IFERROR(INDEX(Settings!$B$8:$B$15,MATCH(C9,Settings!$A$8:$A$15,0)),0))</f>
        <v/>
      </c>
      <c r="Q9" s="44">
        <f>IF(OR(G9="",H9=""),"",H9*IFERROR(INDEX(Products!$J$2:$J$101,MATCH(G9,Products!$A$2:$A$101,0)),0))</f>
        <v/>
      </c>
      <c r="R9" s="44">
        <f>IF(K9="Delivered",N(O9)+N(M9)-N(N9)-N(P9)-N(Q9),IF(OR(K9="Returned",K9="Failed delivery"),-N(N9),""))</f>
        <v/>
      </c>
      <c r="S9">
        <f>IF(E9="","",IF(MATCH(E9,$E$2:E9,0)&lt;ROWS($E$2:E9),"Repeat","New"))</f>
        <v/>
      </c>
      <c r="T9" s="34" t="n"/>
    </row>
    <row r="10">
      <c r="A10" s="34" t="n"/>
      <c r="B10" s="45" t="n"/>
      <c r="C10" s="34" t="n"/>
      <c r="D10" s="34" t="n"/>
      <c r="E10" s="47" t="n"/>
      <c r="F10" s="34" t="n"/>
      <c r="G10" s="34" t="n"/>
      <c r="H10" s="34" t="n"/>
      <c r="I10" s="36" t="n"/>
      <c r="J10" s="46">
        <f>IF(G10="","",IFERROR(INDEX(Products!$B$2:$B$101,MATCH(G10,Products!$A$2:$A$101,0)),"Unknown SKU"))</f>
        <v/>
      </c>
      <c r="K10" s="34" t="n"/>
      <c r="L10" s="34" t="n"/>
      <c r="M10" s="36" t="n"/>
      <c r="N10" s="36" t="n"/>
      <c r="O10" s="44">
        <f>IF(OR(H10="",I10=""),"",H10*I10)</f>
        <v/>
      </c>
      <c r="P10" s="44">
        <f>IF(O10="","",O10*IFERROR(INDEX(Settings!$B$8:$B$15,MATCH(C10,Settings!$A$8:$A$15,0)),0))</f>
        <v/>
      </c>
      <c r="Q10" s="44">
        <f>IF(OR(G10="",H10=""),"",H10*IFERROR(INDEX(Products!$J$2:$J$101,MATCH(G10,Products!$A$2:$A$101,0)),0))</f>
        <v/>
      </c>
      <c r="R10" s="44">
        <f>IF(K10="Delivered",N(O10)+N(M10)-N(N10)-N(P10)-N(Q10),IF(OR(K10="Returned",K10="Failed delivery"),-N(N10),""))</f>
        <v/>
      </c>
      <c r="S10">
        <f>IF(E10="","",IF(MATCH(E10,$E$2:E10,0)&lt;ROWS($E$2:E10),"Repeat","New"))</f>
        <v/>
      </c>
      <c r="T10" s="34" t="n"/>
    </row>
    <row r="11">
      <c r="A11" s="34" t="n"/>
      <c r="B11" s="45" t="n"/>
      <c r="C11" s="34" t="n"/>
      <c r="D11" s="34" t="n"/>
      <c r="E11" s="47" t="n"/>
      <c r="F11" s="34" t="n"/>
      <c r="G11" s="34" t="n"/>
      <c r="H11" s="34" t="n"/>
      <c r="I11" s="36" t="n"/>
      <c r="J11" s="46">
        <f>IF(G11="","",IFERROR(INDEX(Products!$B$2:$B$101,MATCH(G11,Products!$A$2:$A$101,0)),"Unknown SKU"))</f>
        <v/>
      </c>
      <c r="K11" s="34" t="n"/>
      <c r="L11" s="34" t="n"/>
      <c r="M11" s="36" t="n"/>
      <c r="N11" s="36" t="n"/>
      <c r="O11" s="44">
        <f>IF(OR(H11="",I11=""),"",H11*I11)</f>
        <v/>
      </c>
      <c r="P11" s="44">
        <f>IF(O11="","",O11*IFERROR(INDEX(Settings!$B$8:$B$15,MATCH(C11,Settings!$A$8:$A$15,0)),0))</f>
        <v/>
      </c>
      <c r="Q11" s="44">
        <f>IF(OR(G11="",H11=""),"",H11*IFERROR(INDEX(Products!$J$2:$J$101,MATCH(G11,Products!$A$2:$A$101,0)),0))</f>
        <v/>
      </c>
      <c r="R11" s="44">
        <f>IF(K11="Delivered",N(O11)+N(M11)-N(N11)-N(P11)-N(Q11),IF(OR(K11="Returned",K11="Failed delivery"),-N(N11),""))</f>
        <v/>
      </c>
      <c r="S11">
        <f>IF(E11="","",IF(MATCH(E11,$E$2:E11,0)&lt;ROWS($E$2:E11),"Repeat","New"))</f>
        <v/>
      </c>
      <c r="T11" s="34" t="n"/>
    </row>
    <row r="12">
      <c r="A12" s="34" t="n"/>
      <c r="B12" s="45" t="n"/>
      <c r="C12" s="34" t="n"/>
      <c r="D12" s="34" t="n"/>
      <c r="E12" s="47" t="n"/>
      <c r="F12" s="34" t="n"/>
      <c r="G12" s="34" t="n"/>
      <c r="H12" s="34" t="n"/>
      <c r="I12" s="36" t="n"/>
      <c r="J12" s="46">
        <f>IF(G12="","",IFERROR(INDEX(Products!$B$2:$B$101,MATCH(G12,Products!$A$2:$A$101,0)),"Unknown SKU"))</f>
        <v/>
      </c>
      <c r="K12" s="34" t="n"/>
      <c r="L12" s="34" t="n"/>
      <c r="M12" s="36" t="n"/>
      <c r="N12" s="36" t="n"/>
      <c r="O12" s="44">
        <f>IF(OR(H12="",I12=""),"",H12*I12)</f>
        <v/>
      </c>
      <c r="P12" s="44">
        <f>IF(O12="","",O12*IFERROR(INDEX(Settings!$B$8:$B$15,MATCH(C12,Settings!$A$8:$A$15,0)),0))</f>
        <v/>
      </c>
      <c r="Q12" s="44">
        <f>IF(OR(G12="",H12=""),"",H12*IFERROR(INDEX(Products!$J$2:$J$101,MATCH(G12,Products!$A$2:$A$101,0)),0))</f>
        <v/>
      </c>
      <c r="R12" s="44">
        <f>IF(K12="Delivered",N(O12)+N(M12)-N(N12)-N(P12)-N(Q12),IF(OR(K12="Returned",K12="Failed delivery"),-N(N12),""))</f>
        <v/>
      </c>
      <c r="S12">
        <f>IF(E12="","",IF(MATCH(E12,$E$2:E12,0)&lt;ROWS($E$2:E12),"Repeat","New"))</f>
        <v/>
      </c>
      <c r="T12" s="34" t="n"/>
    </row>
    <row r="13">
      <c r="A13" s="34" t="n"/>
      <c r="B13" s="45" t="n"/>
      <c r="C13" s="34" t="n"/>
      <c r="D13" s="34" t="n"/>
      <c r="E13" s="47" t="n"/>
      <c r="F13" s="34" t="n"/>
      <c r="G13" s="34" t="n"/>
      <c r="H13" s="34" t="n"/>
      <c r="I13" s="36" t="n"/>
      <c r="J13" s="46">
        <f>IF(G13="","",IFERROR(INDEX(Products!$B$2:$B$101,MATCH(G13,Products!$A$2:$A$101,0)),"Unknown SKU"))</f>
        <v/>
      </c>
      <c r="K13" s="34" t="n"/>
      <c r="L13" s="34" t="n"/>
      <c r="M13" s="36" t="n"/>
      <c r="N13" s="36" t="n"/>
      <c r="O13" s="44">
        <f>IF(OR(H13="",I13=""),"",H13*I13)</f>
        <v/>
      </c>
      <c r="P13" s="44">
        <f>IF(O13="","",O13*IFERROR(INDEX(Settings!$B$8:$B$15,MATCH(C13,Settings!$A$8:$A$15,0)),0))</f>
        <v/>
      </c>
      <c r="Q13" s="44">
        <f>IF(OR(G13="",H13=""),"",H13*IFERROR(INDEX(Products!$J$2:$J$101,MATCH(G13,Products!$A$2:$A$101,0)),0))</f>
        <v/>
      </c>
      <c r="R13" s="44">
        <f>IF(K13="Delivered",N(O13)+N(M13)-N(N13)-N(P13)-N(Q13),IF(OR(K13="Returned",K13="Failed delivery"),-N(N13),""))</f>
        <v/>
      </c>
      <c r="S13">
        <f>IF(E13="","",IF(MATCH(E13,$E$2:E13,0)&lt;ROWS($E$2:E13),"Repeat","New"))</f>
        <v/>
      </c>
      <c r="T13" s="34" t="n"/>
    </row>
    <row r="14">
      <c r="A14" s="34" t="n"/>
      <c r="B14" s="45" t="n"/>
      <c r="C14" s="34" t="n"/>
      <c r="D14" s="34" t="n"/>
      <c r="E14" s="47" t="n"/>
      <c r="F14" s="34" t="n"/>
      <c r="G14" s="34" t="n"/>
      <c r="H14" s="34" t="n"/>
      <c r="I14" s="36" t="n"/>
      <c r="J14" s="46">
        <f>IF(G14="","",IFERROR(INDEX(Products!$B$2:$B$101,MATCH(G14,Products!$A$2:$A$101,0)),"Unknown SKU"))</f>
        <v/>
      </c>
      <c r="K14" s="34" t="n"/>
      <c r="L14" s="34" t="n"/>
      <c r="M14" s="36" t="n"/>
      <c r="N14" s="36" t="n"/>
      <c r="O14" s="44">
        <f>IF(OR(H14="",I14=""),"",H14*I14)</f>
        <v/>
      </c>
      <c r="P14" s="44">
        <f>IF(O14="","",O14*IFERROR(INDEX(Settings!$B$8:$B$15,MATCH(C14,Settings!$A$8:$A$15,0)),0))</f>
        <v/>
      </c>
      <c r="Q14" s="44">
        <f>IF(OR(G14="",H14=""),"",H14*IFERROR(INDEX(Products!$J$2:$J$101,MATCH(G14,Products!$A$2:$A$101,0)),0))</f>
        <v/>
      </c>
      <c r="R14" s="44">
        <f>IF(K14="Delivered",N(O14)+N(M14)-N(N14)-N(P14)-N(Q14),IF(OR(K14="Returned",K14="Failed delivery"),-N(N14),""))</f>
        <v/>
      </c>
      <c r="S14">
        <f>IF(E14="","",IF(MATCH(E14,$E$2:E14,0)&lt;ROWS($E$2:E14),"Repeat","New"))</f>
        <v/>
      </c>
      <c r="T14" s="34" t="n"/>
    </row>
    <row r="15">
      <c r="A15" s="34" t="n"/>
      <c r="B15" s="45" t="n"/>
      <c r="C15" s="34" t="n"/>
      <c r="D15" s="34" t="n"/>
      <c r="E15" s="47" t="n"/>
      <c r="F15" s="34" t="n"/>
      <c r="G15" s="34" t="n"/>
      <c r="H15" s="34" t="n"/>
      <c r="I15" s="36" t="n"/>
      <c r="J15" s="46">
        <f>IF(G15="","",IFERROR(INDEX(Products!$B$2:$B$101,MATCH(G15,Products!$A$2:$A$101,0)),"Unknown SKU"))</f>
        <v/>
      </c>
      <c r="K15" s="34" t="n"/>
      <c r="L15" s="34" t="n"/>
      <c r="M15" s="36" t="n"/>
      <c r="N15" s="36" t="n"/>
      <c r="O15" s="44">
        <f>IF(OR(H15="",I15=""),"",H15*I15)</f>
        <v/>
      </c>
      <c r="P15" s="44">
        <f>IF(O15="","",O15*IFERROR(INDEX(Settings!$B$8:$B$15,MATCH(C15,Settings!$A$8:$A$15,0)),0))</f>
        <v/>
      </c>
      <c r="Q15" s="44">
        <f>IF(OR(G15="",H15=""),"",H15*IFERROR(INDEX(Products!$J$2:$J$101,MATCH(G15,Products!$A$2:$A$101,0)),0))</f>
        <v/>
      </c>
      <c r="R15" s="44">
        <f>IF(K15="Delivered",N(O15)+N(M15)-N(N15)-N(P15)-N(Q15),IF(OR(K15="Returned",K15="Failed delivery"),-N(N15),""))</f>
        <v/>
      </c>
      <c r="S15">
        <f>IF(E15="","",IF(MATCH(E15,$E$2:E15,0)&lt;ROWS($E$2:E15),"Repeat","New"))</f>
        <v/>
      </c>
      <c r="T15" s="34" t="n"/>
    </row>
    <row r="16">
      <c r="A16" s="34" t="n"/>
      <c r="B16" s="45" t="n"/>
      <c r="C16" s="34" t="n"/>
      <c r="D16" s="34" t="n"/>
      <c r="E16" s="47" t="n"/>
      <c r="F16" s="34" t="n"/>
      <c r="G16" s="34" t="n"/>
      <c r="H16" s="34" t="n"/>
      <c r="I16" s="36" t="n"/>
      <c r="J16" s="46">
        <f>IF(G16="","",IFERROR(INDEX(Products!$B$2:$B$101,MATCH(G16,Products!$A$2:$A$101,0)),"Unknown SKU"))</f>
        <v/>
      </c>
      <c r="K16" s="34" t="n"/>
      <c r="L16" s="34" t="n"/>
      <c r="M16" s="36" t="n"/>
      <c r="N16" s="36" t="n"/>
      <c r="O16" s="44">
        <f>IF(OR(H16="",I16=""),"",H16*I16)</f>
        <v/>
      </c>
      <c r="P16" s="44">
        <f>IF(O16="","",O16*IFERROR(INDEX(Settings!$B$8:$B$15,MATCH(C16,Settings!$A$8:$A$15,0)),0))</f>
        <v/>
      </c>
      <c r="Q16" s="44">
        <f>IF(OR(G16="",H16=""),"",H16*IFERROR(INDEX(Products!$J$2:$J$101,MATCH(G16,Products!$A$2:$A$101,0)),0))</f>
        <v/>
      </c>
      <c r="R16" s="44">
        <f>IF(K16="Delivered",N(O16)+N(M16)-N(N16)-N(P16)-N(Q16),IF(OR(K16="Returned",K16="Failed delivery"),-N(N16),""))</f>
        <v/>
      </c>
      <c r="S16">
        <f>IF(E16="","",IF(MATCH(E16,$E$2:E16,0)&lt;ROWS($E$2:E16),"Repeat","New"))</f>
        <v/>
      </c>
      <c r="T16" s="34" t="n"/>
    </row>
    <row r="17">
      <c r="A17" s="34" t="n"/>
      <c r="B17" s="45" t="n"/>
      <c r="C17" s="34" t="n"/>
      <c r="D17" s="34" t="n"/>
      <c r="E17" s="47" t="n"/>
      <c r="F17" s="34" t="n"/>
      <c r="G17" s="34" t="n"/>
      <c r="H17" s="34" t="n"/>
      <c r="I17" s="36" t="n"/>
      <c r="J17" s="46">
        <f>IF(G17="","",IFERROR(INDEX(Products!$B$2:$B$101,MATCH(G17,Products!$A$2:$A$101,0)),"Unknown SKU"))</f>
        <v/>
      </c>
      <c r="K17" s="34" t="n"/>
      <c r="L17" s="34" t="n"/>
      <c r="M17" s="36" t="n"/>
      <c r="N17" s="36" t="n"/>
      <c r="O17" s="44">
        <f>IF(OR(H17="",I17=""),"",H17*I17)</f>
        <v/>
      </c>
      <c r="P17" s="44">
        <f>IF(O17="","",O17*IFERROR(INDEX(Settings!$B$8:$B$15,MATCH(C17,Settings!$A$8:$A$15,0)),0))</f>
        <v/>
      </c>
      <c r="Q17" s="44">
        <f>IF(OR(G17="",H17=""),"",H17*IFERROR(INDEX(Products!$J$2:$J$101,MATCH(G17,Products!$A$2:$A$101,0)),0))</f>
        <v/>
      </c>
      <c r="R17" s="44">
        <f>IF(K17="Delivered",N(O17)+N(M17)-N(N17)-N(P17)-N(Q17),IF(OR(K17="Returned",K17="Failed delivery"),-N(N17),""))</f>
        <v/>
      </c>
      <c r="S17">
        <f>IF(E17="","",IF(MATCH(E17,$E$2:E17,0)&lt;ROWS($E$2:E17),"Repeat","New"))</f>
        <v/>
      </c>
      <c r="T17" s="34" t="n"/>
    </row>
    <row r="18">
      <c r="A18" s="34" t="n"/>
      <c r="B18" s="45" t="n"/>
      <c r="C18" s="34" t="n"/>
      <c r="D18" s="34" t="n"/>
      <c r="E18" s="47" t="n"/>
      <c r="F18" s="34" t="n"/>
      <c r="G18" s="34" t="n"/>
      <c r="H18" s="34" t="n"/>
      <c r="I18" s="36" t="n"/>
      <c r="J18" s="46">
        <f>IF(G18="","",IFERROR(INDEX(Products!$B$2:$B$101,MATCH(G18,Products!$A$2:$A$101,0)),"Unknown SKU"))</f>
        <v/>
      </c>
      <c r="K18" s="34" t="n"/>
      <c r="L18" s="34" t="n"/>
      <c r="M18" s="36" t="n"/>
      <c r="N18" s="36" t="n"/>
      <c r="O18" s="44">
        <f>IF(OR(H18="",I18=""),"",H18*I18)</f>
        <v/>
      </c>
      <c r="P18" s="44">
        <f>IF(O18="","",O18*IFERROR(INDEX(Settings!$B$8:$B$15,MATCH(C18,Settings!$A$8:$A$15,0)),0))</f>
        <v/>
      </c>
      <c r="Q18" s="44">
        <f>IF(OR(G18="",H18=""),"",H18*IFERROR(INDEX(Products!$J$2:$J$101,MATCH(G18,Products!$A$2:$A$101,0)),0))</f>
        <v/>
      </c>
      <c r="R18" s="44">
        <f>IF(K18="Delivered",N(O18)+N(M18)-N(N18)-N(P18)-N(Q18),IF(OR(K18="Returned",K18="Failed delivery"),-N(N18),""))</f>
        <v/>
      </c>
      <c r="S18">
        <f>IF(E18="","",IF(MATCH(E18,$E$2:E18,0)&lt;ROWS($E$2:E18),"Repeat","New"))</f>
        <v/>
      </c>
      <c r="T18" s="34" t="n"/>
    </row>
    <row r="19">
      <c r="A19" s="34" t="n"/>
      <c r="B19" s="45" t="n"/>
      <c r="C19" s="34" t="n"/>
      <c r="D19" s="34" t="n"/>
      <c r="E19" s="47" t="n"/>
      <c r="F19" s="34" t="n"/>
      <c r="G19" s="34" t="n"/>
      <c r="H19" s="34" t="n"/>
      <c r="I19" s="36" t="n"/>
      <c r="J19" s="46">
        <f>IF(G19="","",IFERROR(INDEX(Products!$B$2:$B$101,MATCH(G19,Products!$A$2:$A$101,0)),"Unknown SKU"))</f>
        <v/>
      </c>
      <c r="K19" s="34" t="n"/>
      <c r="L19" s="34" t="n"/>
      <c r="M19" s="36" t="n"/>
      <c r="N19" s="36" t="n"/>
      <c r="O19" s="44">
        <f>IF(OR(H19="",I19=""),"",H19*I19)</f>
        <v/>
      </c>
      <c r="P19" s="44">
        <f>IF(O19="","",O19*IFERROR(INDEX(Settings!$B$8:$B$15,MATCH(C19,Settings!$A$8:$A$15,0)),0))</f>
        <v/>
      </c>
      <c r="Q19" s="44">
        <f>IF(OR(G19="",H19=""),"",H19*IFERROR(INDEX(Products!$J$2:$J$101,MATCH(G19,Products!$A$2:$A$101,0)),0))</f>
        <v/>
      </c>
      <c r="R19" s="44">
        <f>IF(K19="Delivered",N(O19)+N(M19)-N(N19)-N(P19)-N(Q19),IF(OR(K19="Returned",K19="Failed delivery"),-N(N19),""))</f>
        <v/>
      </c>
      <c r="S19">
        <f>IF(E19="","",IF(MATCH(E19,$E$2:E19,0)&lt;ROWS($E$2:E19),"Repeat","New"))</f>
        <v/>
      </c>
      <c r="T19" s="34" t="n"/>
    </row>
    <row r="20">
      <c r="A20" s="34" t="n"/>
      <c r="B20" s="45" t="n"/>
      <c r="C20" s="34" t="n"/>
      <c r="D20" s="34" t="n"/>
      <c r="E20" s="47" t="n"/>
      <c r="F20" s="34" t="n"/>
      <c r="G20" s="34" t="n"/>
      <c r="H20" s="34" t="n"/>
      <c r="I20" s="36" t="n"/>
      <c r="J20" s="46">
        <f>IF(G20="","",IFERROR(INDEX(Products!$B$2:$B$101,MATCH(G20,Products!$A$2:$A$101,0)),"Unknown SKU"))</f>
        <v/>
      </c>
      <c r="K20" s="34" t="n"/>
      <c r="L20" s="34" t="n"/>
      <c r="M20" s="36" t="n"/>
      <c r="N20" s="36" t="n"/>
      <c r="O20" s="44">
        <f>IF(OR(H20="",I20=""),"",H20*I20)</f>
        <v/>
      </c>
      <c r="P20" s="44">
        <f>IF(O20="","",O20*IFERROR(INDEX(Settings!$B$8:$B$15,MATCH(C20,Settings!$A$8:$A$15,0)),0))</f>
        <v/>
      </c>
      <c r="Q20" s="44">
        <f>IF(OR(G20="",H20=""),"",H20*IFERROR(INDEX(Products!$J$2:$J$101,MATCH(G20,Products!$A$2:$A$101,0)),0))</f>
        <v/>
      </c>
      <c r="R20" s="44">
        <f>IF(K20="Delivered",N(O20)+N(M20)-N(N20)-N(P20)-N(Q20),IF(OR(K20="Returned",K20="Failed delivery"),-N(N20),""))</f>
        <v/>
      </c>
      <c r="S20">
        <f>IF(E20="","",IF(MATCH(E20,$E$2:E20,0)&lt;ROWS($E$2:E20),"Repeat","New"))</f>
        <v/>
      </c>
      <c r="T20" s="34" t="n"/>
    </row>
    <row r="21">
      <c r="A21" s="34" t="n"/>
      <c r="B21" s="45" t="n"/>
      <c r="C21" s="34" t="n"/>
      <c r="D21" s="34" t="n"/>
      <c r="E21" s="47" t="n"/>
      <c r="F21" s="34" t="n"/>
      <c r="G21" s="34" t="n"/>
      <c r="H21" s="34" t="n"/>
      <c r="I21" s="36" t="n"/>
      <c r="J21" s="46">
        <f>IF(G21="","",IFERROR(INDEX(Products!$B$2:$B$101,MATCH(G21,Products!$A$2:$A$101,0)),"Unknown SKU"))</f>
        <v/>
      </c>
      <c r="K21" s="34" t="n"/>
      <c r="L21" s="34" t="n"/>
      <c r="M21" s="36" t="n"/>
      <c r="N21" s="36" t="n"/>
      <c r="O21" s="44">
        <f>IF(OR(H21="",I21=""),"",H21*I21)</f>
        <v/>
      </c>
      <c r="P21" s="44">
        <f>IF(O21="","",O21*IFERROR(INDEX(Settings!$B$8:$B$15,MATCH(C21,Settings!$A$8:$A$15,0)),0))</f>
        <v/>
      </c>
      <c r="Q21" s="44">
        <f>IF(OR(G21="",H21=""),"",H21*IFERROR(INDEX(Products!$J$2:$J$101,MATCH(G21,Products!$A$2:$A$101,0)),0))</f>
        <v/>
      </c>
      <c r="R21" s="44">
        <f>IF(K21="Delivered",N(O21)+N(M21)-N(N21)-N(P21)-N(Q21),IF(OR(K21="Returned",K21="Failed delivery"),-N(N21),""))</f>
        <v/>
      </c>
      <c r="S21">
        <f>IF(E21="","",IF(MATCH(E21,$E$2:E21,0)&lt;ROWS($E$2:E21),"Repeat","New"))</f>
        <v/>
      </c>
      <c r="T21" s="34" t="n"/>
    </row>
    <row r="22">
      <c r="A22" s="34" t="n"/>
      <c r="B22" s="45" t="n"/>
      <c r="C22" s="34" t="n"/>
      <c r="D22" s="34" t="n"/>
      <c r="E22" s="47" t="n"/>
      <c r="F22" s="34" t="n"/>
      <c r="G22" s="34" t="n"/>
      <c r="H22" s="34" t="n"/>
      <c r="I22" s="36" t="n"/>
      <c r="J22" s="46">
        <f>IF(G22="","",IFERROR(INDEX(Products!$B$2:$B$101,MATCH(G22,Products!$A$2:$A$101,0)),"Unknown SKU"))</f>
        <v/>
      </c>
      <c r="K22" s="34" t="n"/>
      <c r="L22" s="34" t="n"/>
      <c r="M22" s="36" t="n"/>
      <c r="N22" s="36" t="n"/>
      <c r="O22" s="44">
        <f>IF(OR(H22="",I22=""),"",H22*I22)</f>
        <v/>
      </c>
      <c r="P22" s="44">
        <f>IF(O22="","",O22*IFERROR(INDEX(Settings!$B$8:$B$15,MATCH(C22,Settings!$A$8:$A$15,0)),0))</f>
        <v/>
      </c>
      <c r="Q22" s="44">
        <f>IF(OR(G22="",H22=""),"",H22*IFERROR(INDEX(Products!$J$2:$J$101,MATCH(G22,Products!$A$2:$A$101,0)),0))</f>
        <v/>
      </c>
      <c r="R22" s="44">
        <f>IF(K22="Delivered",N(O22)+N(M22)-N(N22)-N(P22)-N(Q22),IF(OR(K22="Returned",K22="Failed delivery"),-N(N22),""))</f>
        <v/>
      </c>
      <c r="S22">
        <f>IF(E22="","",IF(MATCH(E22,$E$2:E22,0)&lt;ROWS($E$2:E22),"Repeat","New"))</f>
        <v/>
      </c>
      <c r="T22" s="34" t="n"/>
    </row>
    <row r="23">
      <c r="A23" s="34" t="n"/>
      <c r="B23" s="45" t="n"/>
      <c r="C23" s="34" t="n"/>
      <c r="D23" s="34" t="n"/>
      <c r="E23" s="47" t="n"/>
      <c r="F23" s="34" t="n"/>
      <c r="G23" s="34" t="n"/>
      <c r="H23" s="34" t="n"/>
      <c r="I23" s="36" t="n"/>
      <c r="J23" s="46">
        <f>IF(G23="","",IFERROR(INDEX(Products!$B$2:$B$101,MATCH(G23,Products!$A$2:$A$101,0)),"Unknown SKU"))</f>
        <v/>
      </c>
      <c r="K23" s="34" t="n"/>
      <c r="L23" s="34" t="n"/>
      <c r="M23" s="36" t="n"/>
      <c r="N23" s="36" t="n"/>
      <c r="O23" s="44">
        <f>IF(OR(H23="",I23=""),"",H23*I23)</f>
        <v/>
      </c>
      <c r="P23" s="44">
        <f>IF(O23="","",O23*IFERROR(INDEX(Settings!$B$8:$B$15,MATCH(C23,Settings!$A$8:$A$15,0)),0))</f>
        <v/>
      </c>
      <c r="Q23" s="44">
        <f>IF(OR(G23="",H23=""),"",H23*IFERROR(INDEX(Products!$J$2:$J$101,MATCH(G23,Products!$A$2:$A$101,0)),0))</f>
        <v/>
      </c>
      <c r="R23" s="44">
        <f>IF(K23="Delivered",N(O23)+N(M23)-N(N23)-N(P23)-N(Q23),IF(OR(K23="Returned",K23="Failed delivery"),-N(N23),""))</f>
        <v/>
      </c>
      <c r="S23">
        <f>IF(E23="","",IF(MATCH(E23,$E$2:E23,0)&lt;ROWS($E$2:E23),"Repeat","New"))</f>
        <v/>
      </c>
      <c r="T23" s="34" t="n"/>
    </row>
    <row r="24">
      <c r="A24" s="34" t="n"/>
      <c r="B24" s="45" t="n"/>
      <c r="C24" s="34" t="n"/>
      <c r="D24" s="34" t="n"/>
      <c r="E24" s="47" t="n"/>
      <c r="F24" s="34" t="n"/>
      <c r="G24" s="34" t="n"/>
      <c r="H24" s="34" t="n"/>
      <c r="I24" s="36" t="n"/>
      <c r="J24" s="46">
        <f>IF(G24="","",IFERROR(INDEX(Products!$B$2:$B$101,MATCH(G24,Products!$A$2:$A$101,0)),"Unknown SKU"))</f>
        <v/>
      </c>
      <c r="K24" s="34" t="n"/>
      <c r="L24" s="34" t="n"/>
      <c r="M24" s="36" t="n"/>
      <c r="N24" s="36" t="n"/>
      <c r="O24" s="44">
        <f>IF(OR(H24="",I24=""),"",H24*I24)</f>
        <v/>
      </c>
      <c r="P24" s="44">
        <f>IF(O24="","",O24*IFERROR(INDEX(Settings!$B$8:$B$15,MATCH(C24,Settings!$A$8:$A$15,0)),0))</f>
        <v/>
      </c>
      <c r="Q24" s="44">
        <f>IF(OR(G24="",H24=""),"",H24*IFERROR(INDEX(Products!$J$2:$J$101,MATCH(G24,Products!$A$2:$A$101,0)),0))</f>
        <v/>
      </c>
      <c r="R24" s="44">
        <f>IF(K24="Delivered",N(O24)+N(M24)-N(N24)-N(P24)-N(Q24),IF(OR(K24="Returned",K24="Failed delivery"),-N(N24),""))</f>
        <v/>
      </c>
      <c r="S24">
        <f>IF(E24="","",IF(MATCH(E24,$E$2:E24,0)&lt;ROWS($E$2:E24),"Repeat","New"))</f>
        <v/>
      </c>
      <c r="T24" s="34" t="n"/>
    </row>
    <row r="25">
      <c r="A25" s="34" t="n"/>
      <c r="B25" s="45" t="n"/>
      <c r="C25" s="34" t="n"/>
      <c r="D25" s="34" t="n"/>
      <c r="E25" s="47" t="n"/>
      <c r="F25" s="34" t="n"/>
      <c r="G25" s="34" t="n"/>
      <c r="H25" s="34" t="n"/>
      <c r="I25" s="36" t="n"/>
      <c r="J25" s="46">
        <f>IF(G25="","",IFERROR(INDEX(Products!$B$2:$B$101,MATCH(G25,Products!$A$2:$A$101,0)),"Unknown SKU"))</f>
        <v/>
      </c>
      <c r="K25" s="34" t="n"/>
      <c r="L25" s="34" t="n"/>
      <c r="M25" s="36" t="n"/>
      <c r="N25" s="36" t="n"/>
      <c r="O25" s="44">
        <f>IF(OR(H25="",I25=""),"",H25*I25)</f>
        <v/>
      </c>
      <c r="P25" s="44">
        <f>IF(O25="","",O25*IFERROR(INDEX(Settings!$B$8:$B$15,MATCH(C25,Settings!$A$8:$A$15,0)),0))</f>
        <v/>
      </c>
      <c r="Q25" s="44">
        <f>IF(OR(G25="",H25=""),"",H25*IFERROR(INDEX(Products!$J$2:$J$101,MATCH(G25,Products!$A$2:$A$101,0)),0))</f>
        <v/>
      </c>
      <c r="R25" s="44">
        <f>IF(K25="Delivered",N(O25)+N(M25)-N(N25)-N(P25)-N(Q25),IF(OR(K25="Returned",K25="Failed delivery"),-N(N25),""))</f>
        <v/>
      </c>
      <c r="S25">
        <f>IF(E25="","",IF(MATCH(E25,$E$2:E25,0)&lt;ROWS($E$2:E25),"Repeat","New"))</f>
        <v/>
      </c>
      <c r="T25" s="34" t="n"/>
    </row>
    <row r="26">
      <c r="A26" s="34" t="n"/>
      <c r="B26" s="45" t="n"/>
      <c r="C26" s="34" t="n"/>
      <c r="D26" s="34" t="n"/>
      <c r="E26" s="47" t="n"/>
      <c r="F26" s="34" t="n"/>
      <c r="G26" s="34" t="n"/>
      <c r="H26" s="34" t="n"/>
      <c r="I26" s="36" t="n"/>
      <c r="J26" s="46">
        <f>IF(G26="","",IFERROR(INDEX(Products!$B$2:$B$101,MATCH(G26,Products!$A$2:$A$101,0)),"Unknown SKU"))</f>
        <v/>
      </c>
      <c r="K26" s="34" t="n"/>
      <c r="L26" s="34" t="n"/>
      <c r="M26" s="36" t="n"/>
      <c r="N26" s="36" t="n"/>
      <c r="O26" s="44">
        <f>IF(OR(H26="",I26=""),"",H26*I26)</f>
        <v/>
      </c>
      <c r="P26" s="44">
        <f>IF(O26="","",O26*IFERROR(INDEX(Settings!$B$8:$B$15,MATCH(C26,Settings!$A$8:$A$15,0)),0))</f>
        <v/>
      </c>
      <c r="Q26" s="44">
        <f>IF(OR(G26="",H26=""),"",H26*IFERROR(INDEX(Products!$J$2:$J$101,MATCH(G26,Products!$A$2:$A$101,0)),0))</f>
        <v/>
      </c>
      <c r="R26" s="44">
        <f>IF(K26="Delivered",N(O26)+N(M26)-N(N26)-N(P26)-N(Q26),IF(OR(K26="Returned",K26="Failed delivery"),-N(N26),""))</f>
        <v/>
      </c>
      <c r="S26">
        <f>IF(E26="","",IF(MATCH(E26,$E$2:E26,0)&lt;ROWS($E$2:E26),"Repeat","New"))</f>
        <v/>
      </c>
      <c r="T26" s="34" t="n"/>
    </row>
    <row r="27">
      <c r="A27" s="34" t="n"/>
      <c r="B27" s="45" t="n"/>
      <c r="C27" s="34" t="n"/>
      <c r="D27" s="34" t="n"/>
      <c r="E27" s="47" t="n"/>
      <c r="F27" s="34" t="n"/>
      <c r="G27" s="34" t="n"/>
      <c r="H27" s="34" t="n"/>
      <c r="I27" s="36" t="n"/>
      <c r="J27" s="46">
        <f>IF(G27="","",IFERROR(INDEX(Products!$B$2:$B$101,MATCH(G27,Products!$A$2:$A$101,0)),"Unknown SKU"))</f>
        <v/>
      </c>
      <c r="K27" s="34" t="n"/>
      <c r="L27" s="34" t="n"/>
      <c r="M27" s="36" t="n"/>
      <c r="N27" s="36" t="n"/>
      <c r="O27" s="44">
        <f>IF(OR(H27="",I27=""),"",H27*I27)</f>
        <v/>
      </c>
      <c r="P27" s="44">
        <f>IF(O27="","",O27*IFERROR(INDEX(Settings!$B$8:$B$15,MATCH(C27,Settings!$A$8:$A$15,0)),0))</f>
        <v/>
      </c>
      <c r="Q27" s="44">
        <f>IF(OR(G27="",H27=""),"",H27*IFERROR(INDEX(Products!$J$2:$J$101,MATCH(G27,Products!$A$2:$A$101,0)),0))</f>
        <v/>
      </c>
      <c r="R27" s="44">
        <f>IF(K27="Delivered",N(O27)+N(M27)-N(N27)-N(P27)-N(Q27),IF(OR(K27="Returned",K27="Failed delivery"),-N(N27),""))</f>
        <v/>
      </c>
      <c r="S27">
        <f>IF(E27="","",IF(MATCH(E27,$E$2:E27,0)&lt;ROWS($E$2:E27),"Repeat","New"))</f>
        <v/>
      </c>
      <c r="T27" s="34" t="n"/>
    </row>
    <row r="28">
      <c r="A28" s="34" t="n"/>
      <c r="B28" s="45" t="n"/>
      <c r="C28" s="34" t="n"/>
      <c r="D28" s="34" t="n"/>
      <c r="E28" s="47" t="n"/>
      <c r="F28" s="34" t="n"/>
      <c r="G28" s="34" t="n"/>
      <c r="H28" s="34" t="n"/>
      <c r="I28" s="36" t="n"/>
      <c r="J28" s="46">
        <f>IF(G28="","",IFERROR(INDEX(Products!$B$2:$B$101,MATCH(G28,Products!$A$2:$A$101,0)),"Unknown SKU"))</f>
        <v/>
      </c>
      <c r="K28" s="34" t="n"/>
      <c r="L28" s="34" t="n"/>
      <c r="M28" s="36" t="n"/>
      <c r="N28" s="36" t="n"/>
      <c r="O28" s="44">
        <f>IF(OR(H28="",I28=""),"",H28*I28)</f>
        <v/>
      </c>
      <c r="P28" s="44">
        <f>IF(O28="","",O28*IFERROR(INDEX(Settings!$B$8:$B$15,MATCH(C28,Settings!$A$8:$A$15,0)),0))</f>
        <v/>
      </c>
      <c r="Q28" s="44">
        <f>IF(OR(G28="",H28=""),"",H28*IFERROR(INDEX(Products!$J$2:$J$101,MATCH(G28,Products!$A$2:$A$101,0)),0))</f>
        <v/>
      </c>
      <c r="R28" s="44">
        <f>IF(K28="Delivered",N(O28)+N(M28)-N(N28)-N(P28)-N(Q28),IF(OR(K28="Returned",K28="Failed delivery"),-N(N28),""))</f>
        <v/>
      </c>
      <c r="S28">
        <f>IF(E28="","",IF(MATCH(E28,$E$2:E28,0)&lt;ROWS($E$2:E28),"Repeat","New"))</f>
        <v/>
      </c>
      <c r="T28" s="34" t="n"/>
    </row>
    <row r="29">
      <c r="A29" s="34" t="n"/>
      <c r="B29" s="45" t="n"/>
      <c r="C29" s="34" t="n"/>
      <c r="D29" s="34" t="n"/>
      <c r="E29" s="47" t="n"/>
      <c r="F29" s="34" t="n"/>
      <c r="G29" s="34" t="n"/>
      <c r="H29" s="34" t="n"/>
      <c r="I29" s="36" t="n"/>
      <c r="J29" s="46">
        <f>IF(G29="","",IFERROR(INDEX(Products!$B$2:$B$101,MATCH(G29,Products!$A$2:$A$101,0)),"Unknown SKU"))</f>
        <v/>
      </c>
      <c r="K29" s="34" t="n"/>
      <c r="L29" s="34" t="n"/>
      <c r="M29" s="36" t="n"/>
      <c r="N29" s="36" t="n"/>
      <c r="O29" s="44">
        <f>IF(OR(H29="",I29=""),"",H29*I29)</f>
        <v/>
      </c>
      <c r="P29" s="44">
        <f>IF(O29="","",O29*IFERROR(INDEX(Settings!$B$8:$B$15,MATCH(C29,Settings!$A$8:$A$15,0)),0))</f>
        <v/>
      </c>
      <c r="Q29" s="44">
        <f>IF(OR(G29="",H29=""),"",H29*IFERROR(INDEX(Products!$J$2:$J$101,MATCH(G29,Products!$A$2:$A$101,0)),0))</f>
        <v/>
      </c>
      <c r="R29" s="44">
        <f>IF(K29="Delivered",N(O29)+N(M29)-N(N29)-N(P29)-N(Q29),IF(OR(K29="Returned",K29="Failed delivery"),-N(N29),""))</f>
        <v/>
      </c>
      <c r="S29">
        <f>IF(E29="","",IF(MATCH(E29,$E$2:E29,0)&lt;ROWS($E$2:E29),"Repeat","New"))</f>
        <v/>
      </c>
      <c r="T29" s="34" t="n"/>
    </row>
    <row r="30">
      <c r="A30" s="34" t="n"/>
      <c r="B30" s="45" t="n"/>
      <c r="C30" s="34" t="n"/>
      <c r="D30" s="34" t="n"/>
      <c r="E30" s="47" t="n"/>
      <c r="F30" s="34" t="n"/>
      <c r="G30" s="34" t="n"/>
      <c r="H30" s="34" t="n"/>
      <c r="I30" s="36" t="n"/>
      <c r="J30" s="46">
        <f>IF(G30="","",IFERROR(INDEX(Products!$B$2:$B$101,MATCH(G30,Products!$A$2:$A$101,0)),"Unknown SKU"))</f>
        <v/>
      </c>
      <c r="K30" s="34" t="n"/>
      <c r="L30" s="34" t="n"/>
      <c r="M30" s="36" t="n"/>
      <c r="N30" s="36" t="n"/>
      <c r="O30" s="44">
        <f>IF(OR(H30="",I30=""),"",H30*I30)</f>
        <v/>
      </c>
      <c r="P30" s="44">
        <f>IF(O30="","",O30*IFERROR(INDEX(Settings!$B$8:$B$15,MATCH(C30,Settings!$A$8:$A$15,0)),0))</f>
        <v/>
      </c>
      <c r="Q30" s="44">
        <f>IF(OR(G30="",H30=""),"",H30*IFERROR(INDEX(Products!$J$2:$J$101,MATCH(G30,Products!$A$2:$A$101,0)),0))</f>
        <v/>
      </c>
      <c r="R30" s="44">
        <f>IF(K30="Delivered",N(O30)+N(M30)-N(N30)-N(P30)-N(Q30),IF(OR(K30="Returned",K30="Failed delivery"),-N(N30),""))</f>
        <v/>
      </c>
      <c r="S30">
        <f>IF(E30="","",IF(MATCH(E30,$E$2:E30,0)&lt;ROWS($E$2:E30),"Repeat","New"))</f>
        <v/>
      </c>
      <c r="T30" s="34" t="n"/>
    </row>
    <row r="31">
      <c r="A31" s="34" t="n"/>
      <c r="B31" s="45" t="n"/>
      <c r="C31" s="34" t="n"/>
      <c r="D31" s="34" t="n"/>
      <c r="E31" s="47" t="n"/>
      <c r="F31" s="34" t="n"/>
      <c r="G31" s="34" t="n"/>
      <c r="H31" s="34" t="n"/>
      <c r="I31" s="36" t="n"/>
      <c r="J31" s="46">
        <f>IF(G31="","",IFERROR(INDEX(Products!$B$2:$B$101,MATCH(G31,Products!$A$2:$A$101,0)),"Unknown SKU"))</f>
        <v/>
      </c>
      <c r="K31" s="34" t="n"/>
      <c r="L31" s="34" t="n"/>
      <c r="M31" s="36" t="n"/>
      <c r="N31" s="36" t="n"/>
      <c r="O31" s="44">
        <f>IF(OR(H31="",I31=""),"",H31*I31)</f>
        <v/>
      </c>
      <c r="P31" s="44">
        <f>IF(O31="","",O31*IFERROR(INDEX(Settings!$B$8:$B$15,MATCH(C31,Settings!$A$8:$A$15,0)),0))</f>
        <v/>
      </c>
      <c r="Q31" s="44">
        <f>IF(OR(G31="",H31=""),"",H31*IFERROR(INDEX(Products!$J$2:$J$101,MATCH(G31,Products!$A$2:$A$101,0)),0))</f>
        <v/>
      </c>
      <c r="R31" s="44">
        <f>IF(K31="Delivered",N(O31)+N(M31)-N(N31)-N(P31)-N(Q31),IF(OR(K31="Returned",K31="Failed delivery"),-N(N31),""))</f>
        <v/>
      </c>
      <c r="S31">
        <f>IF(E31="","",IF(MATCH(E31,$E$2:E31,0)&lt;ROWS($E$2:E31),"Repeat","New"))</f>
        <v/>
      </c>
      <c r="T31" s="34" t="n"/>
    </row>
    <row r="32">
      <c r="A32" s="34" t="n"/>
      <c r="B32" s="45" t="n"/>
      <c r="C32" s="34" t="n"/>
      <c r="D32" s="34" t="n"/>
      <c r="E32" s="47" t="n"/>
      <c r="F32" s="34" t="n"/>
      <c r="G32" s="34" t="n"/>
      <c r="H32" s="34" t="n"/>
      <c r="I32" s="36" t="n"/>
      <c r="J32" s="46">
        <f>IF(G32="","",IFERROR(INDEX(Products!$B$2:$B$101,MATCH(G32,Products!$A$2:$A$101,0)),"Unknown SKU"))</f>
        <v/>
      </c>
      <c r="K32" s="34" t="n"/>
      <c r="L32" s="34" t="n"/>
      <c r="M32" s="36" t="n"/>
      <c r="N32" s="36" t="n"/>
      <c r="O32" s="44">
        <f>IF(OR(H32="",I32=""),"",H32*I32)</f>
        <v/>
      </c>
      <c r="P32" s="44">
        <f>IF(O32="","",O32*IFERROR(INDEX(Settings!$B$8:$B$15,MATCH(C32,Settings!$A$8:$A$15,0)),0))</f>
        <v/>
      </c>
      <c r="Q32" s="44">
        <f>IF(OR(G32="",H32=""),"",H32*IFERROR(INDEX(Products!$J$2:$J$101,MATCH(G32,Products!$A$2:$A$101,0)),0))</f>
        <v/>
      </c>
      <c r="R32" s="44">
        <f>IF(K32="Delivered",N(O32)+N(M32)-N(N32)-N(P32)-N(Q32),IF(OR(K32="Returned",K32="Failed delivery"),-N(N32),""))</f>
        <v/>
      </c>
      <c r="S32">
        <f>IF(E32="","",IF(MATCH(E32,$E$2:E32,0)&lt;ROWS($E$2:E32),"Repeat","New"))</f>
        <v/>
      </c>
      <c r="T32" s="34" t="n"/>
    </row>
    <row r="33">
      <c r="A33" s="34" t="n"/>
      <c r="B33" s="45" t="n"/>
      <c r="C33" s="34" t="n"/>
      <c r="D33" s="34" t="n"/>
      <c r="E33" s="47" t="n"/>
      <c r="F33" s="34" t="n"/>
      <c r="G33" s="34" t="n"/>
      <c r="H33" s="34" t="n"/>
      <c r="I33" s="36" t="n"/>
      <c r="J33" s="46">
        <f>IF(G33="","",IFERROR(INDEX(Products!$B$2:$B$101,MATCH(G33,Products!$A$2:$A$101,0)),"Unknown SKU"))</f>
        <v/>
      </c>
      <c r="K33" s="34" t="n"/>
      <c r="L33" s="34" t="n"/>
      <c r="M33" s="36" t="n"/>
      <c r="N33" s="36" t="n"/>
      <c r="O33" s="44">
        <f>IF(OR(H33="",I33=""),"",H33*I33)</f>
        <v/>
      </c>
      <c r="P33" s="44">
        <f>IF(O33="","",O33*IFERROR(INDEX(Settings!$B$8:$B$15,MATCH(C33,Settings!$A$8:$A$15,0)),0))</f>
        <v/>
      </c>
      <c r="Q33" s="44">
        <f>IF(OR(G33="",H33=""),"",H33*IFERROR(INDEX(Products!$J$2:$J$101,MATCH(G33,Products!$A$2:$A$101,0)),0))</f>
        <v/>
      </c>
      <c r="R33" s="44">
        <f>IF(K33="Delivered",N(O33)+N(M33)-N(N33)-N(P33)-N(Q33),IF(OR(K33="Returned",K33="Failed delivery"),-N(N33),""))</f>
        <v/>
      </c>
      <c r="S33">
        <f>IF(E33="","",IF(MATCH(E33,$E$2:E33,0)&lt;ROWS($E$2:E33),"Repeat","New"))</f>
        <v/>
      </c>
      <c r="T33" s="34" t="n"/>
    </row>
    <row r="34">
      <c r="A34" s="34" t="n"/>
      <c r="B34" s="45" t="n"/>
      <c r="C34" s="34" t="n"/>
      <c r="D34" s="34" t="n"/>
      <c r="E34" s="47" t="n"/>
      <c r="F34" s="34" t="n"/>
      <c r="G34" s="34" t="n"/>
      <c r="H34" s="34" t="n"/>
      <c r="I34" s="36" t="n"/>
      <c r="J34" s="46">
        <f>IF(G34="","",IFERROR(INDEX(Products!$B$2:$B$101,MATCH(G34,Products!$A$2:$A$101,0)),"Unknown SKU"))</f>
        <v/>
      </c>
      <c r="K34" s="34" t="n"/>
      <c r="L34" s="34" t="n"/>
      <c r="M34" s="36" t="n"/>
      <c r="N34" s="36" t="n"/>
      <c r="O34" s="44">
        <f>IF(OR(H34="",I34=""),"",H34*I34)</f>
        <v/>
      </c>
      <c r="P34" s="44">
        <f>IF(O34="","",O34*IFERROR(INDEX(Settings!$B$8:$B$15,MATCH(C34,Settings!$A$8:$A$15,0)),0))</f>
        <v/>
      </c>
      <c r="Q34" s="44">
        <f>IF(OR(G34="",H34=""),"",H34*IFERROR(INDEX(Products!$J$2:$J$101,MATCH(G34,Products!$A$2:$A$101,0)),0))</f>
        <v/>
      </c>
      <c r="R34" s="44">
        <f>IF(K34="Delivered",N(O34)+N(M34)-N(N34)-N(P34)-N(Q34),IF(OR(K34="Returned",K34="Failed delivery"),-N(N34),""))</f>
        <v/>
      </c>
      <c r="S34">
        <f>IF(E34="","",IF(MATCH(E34,$E$2:E34,0)&lt;ROWS($E$2:E34),"Repeat","New"))</f>
        <v/>
      </c>
      <c r="T34" s="34" t="n"/>
    </row>
    <row r="35">
      <c r="A35" s="34" t="n"/>
      <c r="B35" s="45" t="n"/>
      <c r="C35" s="34" t="n"/>
      <c r="D35" s="34" t="n"/>
      <c r="E35" s="47" t="n"/>
      <c r="F35" s="34" t="n"/>
      <c r="G35" s="34" t="n"/>
      <c r="H35" s="34" t="n"/>
      <c r="I35" s="36" t="n"/>
      <c r="J35" s="46">
        <f>IF(G35="","",IFERROR(INDEX(Products!$B$2:$B$101,MATCH(G35,Products!$A$2:$A$101,0)),"Unknown SKU"))</f>
        <v/>
      </c>
      <c r="K35" s="34" t="n"/>
      <c r="L35" s="34" t="n"/>
      <c r="M35" s="36" t="n"/>
      <c r="N35" s="36" t="n"/>
      <c r="O35" s="44">
        <f>IF(OR(H35="",I35=""),"",H35*I35)</f>
        <v/>
      </c>
      <c r="P35" s="44">
        <f>IF(O35="","",O35*IFERROR(INDEX(Settings!$B$8:$B$15,MATCH(C35,Settings!$A$8:$A$15,0)),0))</f>
        <v/>
      </c>
      <c r="Q35" s="44">
        <f>IF(OR(G35="",H35=""),"",H35*IFERROR(INDEX(Products!$J$2:$J$101,MATCH(G35,Products!$A$2:$A$101,0)),0))</f>
        <v/>
      </c>
      <c r="R35" s="44">
        <f>IF(K35="Delivered",N(O35)+N(M35)-N(N35)-N(P35)-N(Q35),IF(OR(K35="Returned",K35="Failed delivery"),-N(N35),""))</f>
        <v/>
      </c>
      <c r="S35">
        <f>IF(E35="","",IF(MATCH(E35,$E$2:E35,0)&lt;ROWS($E$2:E35),"Repeat","New"))</f>
        <v/>
      </c>
      <c r="T35" s="34" t="n"/>
    </row>
    <row r="36">
      <c r="A36" s="34" t="n"/>
      <c r="B36" s="45" t="n"/>
      <c r="C36" s="34" t="n"/>
      <c r="D36" s="34" t="n"/>
      <c r="E36" s="47" t="n"/>
      <c r="F36" s="34" t="n"/>
      <c r="G36" s="34" t="n"/>
      <c r="H36" s="34" t="n"/>
      <c r="I36" s="36" t="n"/>
      <c r="J36" s="46">
        <f>IF(G36="","",IFERROR(INDEX(Products!$B$2:$B$101,MATCH(G36,Products!$A$2:$A$101,0)),"Unknown SKU"))</f>
        <v/>
      </c>
      <c r="K36" s="34" t="n"/>
      <c r="L36" s="34" t="n"/>
      <c r="M36" s="36" t="n"/>
      <c r="N36" s="36" t="n"/>
      <c r="O36" s="44">
        <f>IF(OR(H36="",I36=""),"",H36*I36)</f>
        <v/>
      </c>
      <c r="P36" s="44">
        <f>IF(O36="","",O36*IFERROR(INDEX(Settings!$B$8:$B$15,MATCH(C36,Settings!$A$8:$A$15,0)),0))</f>
        <v/>
      </c>
      <c r="Q36" s="44">
        <f>IF(OR(G36="",H36=""),"",H36*IFERROR(INDEX(Products!$J$2:$J$101,MATCH(G36,Products!$A$2:$A$101,0)),0))</f>
        <v/>
      </c>
      <c r="R36" s="44">
        <f>IF(K36="Delivered",N(O36)+N(M36)-N(N36)-N(P36)-N(Q36),IF(OR(K36="Returned",K36="Failed delivery"),-N(N36),""))</f>
        <v/>
      </c>
      <c r="S36">
        <f>IF(E36="","",IF(MATCH(E36,$E$2:E36,0)&lt;ROWS($E$2:E36),"Repeat","New"))</f>
        <v/>
      </c>
      <c r="T36" s="34" t="n"/>
    </row>
    <row r="37">
      <c r="A37" s="34" t="n"/>
      <c r="B37" s="45" t="n"/>
      <c r="C37" s="34" t="n"/>
      <c r="D37" s="34" t="n"/>
      <c r="E37" s="47" t="n"/>
      <c r="F37" s="34" t="n"/>
      <c r="G37" s="34" t="n"/>
      <c r="H37" s="34" t="n"/>
      <c r="I37" s="36" t="n"/>
      <c r="J37" s="46">
        <f>IF(G37="","",IFERROR(INDEX(Products!$B$2:$B$101,MATCH(G37,Products!$A$2:$A$101,0)),"Unknown SKU"))</f>
        <v/>
      </c>
      <c r="K37" s="34" t="n"/>
      <c r="L37" s="34" t="n"/>
      <c r="M37" s="36" t="n"/>
      <c r="N37" s="36" t="n"/>
      <c r="O37" s="44">
        <f>IF(OR(H37="",I37=""),"",H37*I37)</f>
        <v/>
      </c>
      <c r="P37" s="44">
        <f>IF(O37="","",O37*IFERROR(INDEX(Settings!$B$8:$B$15,MATCH(C37,Settings!$A$8:$A$15,0)),0))</f>
        <v/>
      </c>
      <c r="Q37" s="44">
        <f>IF(OR(G37="",H37=""),"",H37*IFERROR(INDEX(Products!$J$2:$J$101,MATCH(G37,Products!$A$2:$A$101,0)),0))</f>
        <v/>
      </c>
      <c r="R37" s="44">
        <f>IF(K37="Delivered",N(O37)+N(M37)-N(N37)-N(P37)-N(Q37),IF(OR(K37="Returned",K37="Failed delivery"),-N(N37),""))</f>
        <v/>
      </c>
      <c r="S37">
        <f>IF(E37="","",IF(MATCH(E37,$E$2:E37,0)&lt;ROWS($E$2:E37),"Repeat","New"))</f>
        <v/>
      </c>
      <c r="T37" s="34" t="n"/>
    </row>
    <row r="38">
      <c r="A38" s="34" t="n"/>
      <c r="B38" s="45" t="n"/>
      <c r="C38" s="34" t="n"/>
      <c r="D38" s="34" t="n"/>
      <c r="E38" s="47" t="n"/>
      <c r="F38" s="34" t="n"/>
      <c r="G38" s="34" t="n"/>
      <c r="H38" s="34" t="n"/>
      <c r="I38" s="36" t="n"/>
      <c r="J38" s="46">
        <f>IF(G38="","",IFERROR(INDEX(Products!$B$2:$B$101,MATCH(G38,Products!$A$2:$A$101,0)),"Unknown SKU"))</f>
        <v/>
      </c>
      <c r="K38" s="34" t="n"/>
      <c r="L38" s="34" t="n"/>
      <c r="M38" s="36" t="n"/>
      <c r="N38" s="36" t="n"/>
      <c r="O38" s="44">
        <f>IF(OR(H38="",I38=""),"",H38*I38)</f>
        <v/>
      </c>
      <c r="P38" s="44">
        <f>IF(O38="","",O38*IFERROR(INDEX(Settings!$B$8:$B$15,MATCH(C38,Settings!$A$8:$A$15,0)),0))</f>
        <v/>
      </c>
      <c r="Q38" s="44">
        <f>IF(OR(G38="",H38=""),"",H38*IFERROR(INDEX(Products!$J$2:$J$101,MATCH(G38,Products!$A$2:$A$101,0)),0))</f>
        <v/>
      </c>
      <c r="R38" s="44">
        <f>IF(K38="Delivered",N(O38)+N(M38)-N(N38)-N(P38)-N(Q38),IF(OR(K38="Returned",K38="Failed delivery"),-N(N38),""))</f>
        <v/>
      </c>
      <c r="S38">
        <f>IF(E38="","",IF(MATCH(E38,$E$2:E38,0)&lt;ROWS($E$2:E38),"Repeat","New"))</f>
        <v/>
      </c>
      <c r="T38" s="34" t="n"/>
    </row>
    <row r="39">
      <c r="A39" s="34" t="n"/>
      <c r="B39" s="45" t="n"/>
      <c r="C39" s="34" t="n"/>
      <c r="D39" s="34" t="n"/>
      <c r="E39" s="47" t="n"/>
      <c r="F39" s="34" t="n"/>
      <c r="G39" s="34" t="n"/>
      <c r="H39" s="34" t="n"/>
      <c r="I39" s="36" t="n"/>
      <c r="J39" s="46">
        <f>IF(G39="","",IFERROR(INDEX(Products!$B$2:$B$101,MATCH(G39,Products!$A$2:$A$101,0)),"Unknown SKU"))</f>
        <v/>
      </c>
      <c r="K39" s="34" t="n"/>
      <c r="L39" s="34" t="n"/>
      <c r="M39" s="36" t="n"/>
      <c r="N39" s="36" t="n"/>
      <c r="O39" s="44">
        <f>IF(OR(H39="",I39=""),"",H39*I39)</f>
        <v/>
      </c>
      <c r="P39" s="44">
        <f>IF(O39="","",O39*IFERROR(INDEX(Settings!$B$8:$B$15,MATCH(C39,Settings!$A$8:$A$15,0)),0))</f>
        <v/>
      </c>
      <c r="Q39" s="44">
        <f>IF(OR(G39="",H39=""),"",H39*IFERROR(INDEX(Products!$J$2:$J$101,MATCH(G39,Products!$A$2:$A$101,0)),0))</f>
        <v/>
      </c>
      <c r="R39" s="44">
        <f>IF(K39="Delivered",N(O39)+N(M39)-N(N39)-N(P39)-N(Q39),IF(OR(K39="Returned",K39="Failed delivery"),-N(N39),""))</f>
        <v/>
      </c>
      <c r="S39">
        <f>IF(E39="","",IF(MATCH(E39,$E$2:E39,0)&lt;ROWS($E$2:E39),"Repeat","New"))</f>
        <v/>
      </c>
      <c r="T39" s="34" t="n"/>
    </row>
    <row r="40">
      <c r="A40" s="34" t="n"/>
      <c r="B40" s="45" t="n"/>
      <c r="C40" s="34" t="n"/>
      <c r="D40" s="34" t="n"/>
      <c r="E40" s="47" t="n"/>
      <c r="F40" s="34" t="n"/>
      <c r="G40" s="34" t="n"/>
      <c r="H40" s="34" t="n"/>
      <c r="I40" s="36" t="n"/>
      <c r="J40" s="46">
        <f>IF(G40="","",IFERROR(INDEX(Products!$B$2:$B$101,MATCH(G40,Products!$A$2:$A$101,0)),"Unknown SKU"))</f>
        <v/>
      </c>
      <c r="K40" s="34" t="n"/>
      <c r="L40" s="34" t="n"/>
      <c r="M40" s="36" t="n"/>
      <c r="N40" s="36" t="n"/>
      <c r="O40" s="44">
        <f>IF(OR(H40="",I40=""),"",H40*I40)</f>
        <v/>
      </c>
      <c r="P40" s="44">
        <f>IF(O40="","",O40*IFERROR(INDEX(Settings!$B$8:$B$15,MATCH(C40,Settings!$A$8:$A$15,0)),0))</f>
        <v/>
      </c>
      <c r="Q40" s="44">
        <f>IF(OR(G40="",H40=""),"",H40*IFERROR(INDEX(Products!$J$2:$J$101,MATCH(G40,Products!$A$2:$A$101,0)),0))</f>
        <v/>
      </c>
      <c r="R40" s="44">
        <f>IF(K40="Delivered",N(O40)+N(M40)-N(N40)-N(P40)-N(Q40),IF(OR(K40="Returned",K40="Failed delivery"),-N(N40),""))</f>
        <v/>
      </c>
      <c r="S40">
        <f>IF(E40="","",IF(MATCH(E40,$E$2:E40,0)&lt;ROWS($E$2:E40),"Repeat","New"))</f>
        <v/>
      </c>
      <c r="T40" s="34" t="n"/>
    </row>
    <row r="41">
      <c r="A41" s="34" t="n"/>
      <c r="B41" s="45" t="n"/>
      <c r="C41" s="34" t="n"/>
      <c r="D41" s="34" t="n"/>
      <c r="E41" s="47" t="n"/>
      <c r="F41" s="34" t="n"/>
      <c r="G41" s="34" t="n"/>
      <c r="H41" s="34" t="n"/>
      <c r="I41" s="36" t="n"/>
      <c r="J41" s="46">
        <f>IF(G41="","",IFERROR(INDEX(Products!$B$2:$B$101,MATCH(G41,Products!$A$2:$A$101,0)),"Unknown SKU"))</f>
        <v/>
      </c>
      <c r="K41" s="34" t="n"/>
      <c r="L41" s="34" t="n"/>
      <c r="M41" s="36" t="n"/>
      <c r="N41" s="36" t="n"/>
      <c r="O41" s="44">
        <f>IF(OR(H41="",I41=""),"",H41*I41)</f>
        <v/>
      </c>
      <c r="P41" s="44">
        <f>IF(O41="","",O41*IFERROR(INDEX(Settings!$B$8:$B$15,MATCH(C41,Settings!$A$8:$A$15,0)),0))</f>
        <v/>
      </c>
      <c r="Q41" s="44">
        <f>IF(OR(G41="",H41=""),"",H41*IFERROR(INDEX(Products!$J$2:$J$101,MATCH(G41,Products!$A$2:$A$101,0)),0))</f>
        <v/>
      </c>
      <c r="R41" s="44">
        <f>IF(K41="Delivered",N(O41)+N(M41)-N(N41)-N(P41)-N(Q41),IF(OR(K41="Returned",K41="Failed delivery"),-N(N41),""))</f>
        <v/>
      </c>
      <c r="S41">
        <f>IF(E41="","",IF(MATCH(E41,$E$2:E41,0)&lt;ROWS($E$2:E41),"Repeat","New"))</f>
        <v/>
      </c>
      <c r="T41" s="34" t="n"/>
    </row>
    <row r="42">
      <c r="A42" s="34" t="n"/>
      <c r="B42" s="45" t="n"/>
      <c r="C42" s="34" t="n"/>
      <c r="D42" s="34" t="n"/>
      <c r="E42" s="47" t="n"/>
      <c r="F42" s="34" t="n"/>
      <c r="G42" s="34" t="n"/>
      <c r="H42" s="34" t="n"/>
      <c r="I42" s="36" t="n"/>
      <c r="J42" s="46">
        <f>IF(G42="","",IFERROR(INDEX(Products!$B$2:$B$101,MATCH(G42,Products!$A$2:$A$101,0)),"Unknown SKU"))</f>
        <v/>
      </c>
      <c r="K42" s="34" t="n"/>
      <c r="L42" s="34" t="n"/>
      <c r="M42" s="36" t="n"/>
      <c r="N42" s="36" t="n"/>
      <c r="O42" s="44">
        <f>IF(OR(H42="",I42=""),"",H42*I42)</f>
        <v/>
      </c>
      <c r="P42" s="44">
        <f>IF(O42="","",O42*IFERROR(INDEX(Settings!$B$8:$B$15,MATCH(C42,Settings!$A$8:$A$15,0)),0))</f>
        <v/>
      </c>
      <c r="Q42" s="44">
        <f>IF(OR(G42="",H42=""),"",H42*IFERROR(INDEX(Products!$J$2:$J$101,MATCH(G42,Products!$A$2:$A$101,0)),0))</f>
        <v/>
      </c>
      <c r="R42" s="44">
        <f>IF(K42="Delivered",N(O42)+N(M42)-N(N42)-N(P42)-N(Q42),IF(OR(K42="Returned",K42="Failed delivery"),-N(N42),""))</f>
        <v/>
      </c>
      <c r="S42">
        <f>IF(E42="","",IF(MATCH(E42,$E$2:E42,0)&lt;ROWS($E$2:E42),"Repeat","New"))</f>
        <v/>
      </c>
      <c r="T42" s="34" t="n"/>
    </row>
    <row r="43">
      <c r="A43" s="34" t="n"/>
      <c r="B43" s="45" t="n"/>
      <c r="C43" s="34" t="n"/>
      <c r="D43" s="34" t="n"/>
      <c r="E43" s="47" t="n"/>
      <c r="F43" s="34" t="n"/>
      <c r="G43" s="34" t="n"/>
      <c r="H43" s="34" t="n"/>
      <c r="I43" s="36" t="n"/>
      <c r="J43" s="46">
        <f>IF(G43="","",IFERROR(INDEX(Products!$B$2:$B$101,MATCH(G43,Products!$A$2:$A$101,0)),"Unknown SKU"))</f>
        <v/>
      </c>
      <c r="K43" s="34" t="n"/>
      <c r="L43" s="34" t="n"/>
      <c r="M43" s="36" t="n"/>
      <c r="N43" s="36" t="n"/>
      <c r="O43" s="44">
        <f>IF(OR(H43="",I43=""),"",H43*I43)</f>
        <v/>
      </c>
      <c r="P43" s="44">
        <f>IF(O43="","",O43*IFERROR(INDEX(Settings!$B$8:$B$15,MATCH(C43,Settings!$A$8:$A$15,0)),0))</f>
        <v/>
      </c>
      <c r="Q43" s="44">
        <f>IF(OR(G43="",H43=""),"",H43*IFERROR(INDEX(Products!$J$2:$J$101,MATCH(G43,Products!$A$2:$A$101,0)),0))</f>
        <v/>
      </c>
      <c r="R43" s="44">
        <f>IF(K43="Delivered",N(O43)+N(M43)-N(N43)-N(P43)-N(Q43),IF(OR(K43="Returned",K43="Failed delivery"),-N(N43),""))</f>
        <v/>
      </c>
      <c r="S43">
        <f>IF(E43="","",IF(MATCH(E43,$E$2:E43,0)&lt;ROWS($E$2:E43),"Repeat","New"))</f>
        <v/>
      </c>
      <c r="T43" s="34" t="n"/>
    </row>
    <row r="44">
      <c r="A44" s="34" t="n"/>
      <c r="B44" s="45" t="n"/>
      <c r="C44" s="34" t="n"/>
      <c r="D44" s="34" t="n"/>
      <c r="E44" s="47" t="n"/>
      <c r="F44" s="34" t="n"/>
      <c r="G44" s="34" t="n"/>
      <c r="H44" s="34" t="n"/>
      <c r="I44" s="36" t="n"/>
      <c r="J44" s="46">
        <f>IF(G44="","",IFERROR(INDEX(Products!$B$2:$B$101,MATCH(G44,Products!$A$2:$A$101,0)),"Unknown SKU"))</f>
        <v/>
      </c>
      <c r="K44" s="34" t="n"/>
      <c r="L44" s="34" t="n"/>
      <c r="M44" s="36" t="n"/>
      <c r="N44" s="36" t="n"/>
      <c r="O44" s="44">
        <f>IF(OR(H44="",I44=""),"",H44*I44)</f>
        <v/>
      </c>
      <c r="P44" s="44">
        <f>IF(O44="","",O44*IFERROR(INDEX(Settings!$B$8:$B$15,MATCH(C44,Settings!$A$8:$A$15,0)),0))</f>
        <v/>
      </c>
      <c r="Q44" s="44">
        <f>IF(OR(G44="",H44=""),"",H44*IFERROR(INDEX(Products!$J$2:$J$101,MATCH(G44,Products!$A$2:$A$101,0)),0))</f>
        <v/>
      </c>
      <c r="R44" s="44">
        <f>IF(K44="Delivered",N(O44)+N(M44)-N(N44)-N(P44)-N(Q44),IF(OR(K44="Returned",K44="Failed delivery"),-N(N44),""))</f>
        <v/>
      </c>
      <c r="S44">
        <f>IF(E44="","",IF(MATCH(E44,$E$2:E44,0)&lt;ROWS($E$2:E44),"Repeat","New"))</f>
        <v/>
      </c>
      <c r="T44" s="34" t="n"/>
    </row>
    <row r="45">
      <c r="A45" s="34" t="n"/>
      <c r="B45" s="45" t="n"/>
      <c r="C45" s="34" t="n"/>
      <c r="D45" s="34" t="n"/>
      <c r="E45" s="47" t="n"/>
      <c r="F45" s="34" t="n"/>
      <c r="G45" s="34" t="n"/>
      <c r="H45" s="34" t="n"/>
      <c r="I45" s="36" t="n"/>
      <c r="J45" s="46">
        <f>IF(G45="","",IFERROR(INDEX(Products!$B$2:$B$101,MATCH(G45,Products!$A$2:$A$101,0)),"Unknown SKU"))</f>
        <v/>
      </c>
      <c r="K45" s="34" t="n"/>
      <c r="L45" s="34" t="n"/>
      <c r="M45" s="36" t="n"/>
      <c r="N45" s="36" t="n"/>
      <c r="O45" s="44">
        <f>IF(OR(H45="",I45=""),"",H45*I45)</f>
        <v/>
      </c>
      <c r="P45" s="44">
        <f>IF(O45="","",O45*IFERROR(INDEX(Settings!$B$8:$B$15,MATCH(C45,Settings!$A$8:$A$15,0)),0))</f>
        <v/>
      </c>
      <c r="Q45" s="44">
        <f>IF(OR(G45="",H45=""),"",H45*IFERROR(INDEX(Products!$J$2:$J$101,MATCH(G45,Products!$A$2:$A$101,0)),0))</f>
        <v/>
      </c>
      <c r="R45" s="44">
        <f>IF(K45="Delivered",N(O45)+N(M45)-N(N45)-N(P45)-N(Q45),IF(OR(K45="Returned",K45="Failed delivery"),-N(N45),""))</f>
        <v/>
      </c>
      <c r="S45">
        <f>IF(E45="","",IF(MATCH(E45,$E$2:E45,0)&lt;ROWS($E$2:E45),"Repeat","New"))</f>
        <v/>
      </c>
      <c r="T45" s="34" t="n"/>
    </row>
    <row r="46">
      <c r="A46" s="34" t="n"/>
      <c r="B46" s="45" t="n"/>
      <c r="C46" s="34" t="n"/>
      <c r="D46" s="34" t="n"/>
      <c r="E46" s="47" t="n"/>
      <c r="F46" s="34" t="n"/>
      <c r="G46" s="34" t="n"/>
      <c r="H46" s="34" t="n"/>
      <c r="I46" s="36" t="n"/>
      <c r="J46" s="46">
        <f>IF(G46="","",IFERROR(INDEX(Products!$B$2:$B$101,MATCH(G46,Products!$A$2:$A$101,0)),"Unknown SKU"))</f>
        <v/>
      </c>
      <c r="K46" s="34" t="n"/>
      <c r="L46" s="34" t="n"/>
      <c r="M46" s="36" t="n"/>
      <c r="N46" s="36" t="n"/>
      <c r="O46" s="44">
        <f>IF(OR(H46="",I46=""),"",H46*I46)</f>
        <v/>
      </c>
      <c r="P46" s="44">
        <f>IF(O46="","",O46*IFERROR(INDEX(Settings!$B$8:$B$15,MATCH(C46,Settings!$A$8:$A$15,0)),0))</f>
        <v/>
      </c>
      <c r="Q46" s="44">
        <f>IF(OR(G46="",H46=""),"",H46*IFERROR(INDEX(Products!$J$2:$J$101,MATCH(G46,Products!$A$2:$A$101,0)),0))</f>
        <v/>
      </c>
      <c r="R46" s="44">
        <f>IF(K46="Delivered",N(O46)+N(M46)-N(N46)-N(P46)-N(Q46),IF(OR(K46="Returned",K46="Failed delivery"),-N(N46),""))</f>
        <v/>
      </c>
      <c r="S46">
        <f>IF(E46="","",IF(MATCH(E46,$E$2:E46,0)&lt;ROWS($E$2:E46),"Repeat","New"))</f>
        <v/>
      </c>
      <c r="T46" s="34" t="n"/>
    </row>
    <row r="47">
      <c r="A47" s="34" t="n"/>
      <c r="B47" s="45" t="n"/>
      <c r="C47" s="34" t="n"/>
      <c r="D47" s="34" t="n"/>
      <c r="E47" s="47" t="n"/>
      <c r="F47" s="34" t="n"/>
      <c r="G47" s="34" t="n"/>
      <c r="H47" s="34" t="n"/>
      <c r="I47" s="36" t="n"/>
      <c r="J47" s="46">
        <f>IF(G47="","",IFERROR(INDEX(Products!$B$2:$B$101,MATCH(G47,Products!$A$2:$A$101,0)),"Unknown SKU"))</f>
        <v/>
      </c>
      <c r="K47" s="34" t="n"/>
      <c r="L47" s="34" t="n"/>
      <c r="M47" s="36" t="n"/>
      <c r="N47" s="36" t="n"/>
      <c r="O47" s="44">
        <f>IF(OR(H47="",I47=""),"",H47*I47)</f>
        <v/>
      </c>
      <c r="P47" s="44">
        <f>IF(O47="","",O47*IFERROR(INDEX(Settings!$B$8:$B$15,MATCH(C47,Settings!$A$8:$A$15,0)),0))</f>
        <v/>
      </c>
      <c r="Q47" s="44">
        <f>IF(OR(G47="",H47=""),"",H47*IFERROR(INDEX(Products!$J$2:$J$101,MATCH(G47,Products!$A$2:$A$101,0)),0))</f>
        <v/>
      </c>
      <c r="R47" s="44">
        <f>IF(K47="Delivered",N(O47)+N(M47)-N(N47)-N(P47)-N(Q47),IF(OR(K47="Returned",K47="Failed delivery"),-N(N47),""))</f>
        <v/>
      </c>
      <c r="S47">
        <f>IF(E47="","",IF(MATCH(E47,$E$2:E47,0)&lt;ROWS($E$2:E47),"Repeat","New"))</f>
        <v/>
      </c>
      <c r="T47" s="34" t="n"/>
    </row>
    <row r="48">
      <c r="A48" s="34" t="n"/>
      <c r="B48" s="45" t="n"/>
      <c r="C48" s="34" t="n"/>
      <c r="D48" s="34" t="n"/>
      <c r="E48" s="47" t="n"/>
      <c r="F48" s="34" t="n"/>
      <c r="G48" s="34" t="n"/>
      <c r="H48" s="34" t="n"/>
      <c r="I48" s="36" t="n"/>
      <c r="J48" s="46">
        <f>IF(G48="","",IFERROR(INDEX(Products!$B$2:$B$101,MATCH(G48,Products!$A$2:$A$101,0)),"Unknown SKU"))</f>
        <v/>
      </c>
      <c r="K48" s="34" t="n"/>
      <c r="L48" s="34" t="n"/>
      <c r="M48" s="36" t="n"/>
      <c r="N48" s="36" t="n"/>
      <c r="O48" s="44">
        <f>IF(OR(H48="",I48=""),"",H48*I48)</f>
        <v/>
      </c>
      <c r="P48" s="44">
        <f>IF(O48="","",O48*IFERROR(INDEX(Settings!$B$8:$B$15,MATCH(C48,Settings!$A$8:$A$15,0)),0))</f>
        <v/>
      </c>
      <c r="Q48" s="44">
        <f>IF(OR(G48="",H48=""),"",H48*IFERROR(INDEX(Products!$J$2:$J$101,MATCH(G48,Products!$A$2:$A$101,0)),0))</f>
        <v/>
      </c>
      <c r="R48" s="44">
        <f>IF(K48="Delivered",N(O48)+N(M48)-N(N48)-N(P48)-N(Q48),IF(OR(K48="Returned",K48="Failed delivery"),-N(N48),""))</f>
        <v/>
      </c>
      <c r="S48">
        <f>IF(E48="","",IF(MATCH(E48,$E$2:E48,0)&lt;ROWS($E$2:E48),"Repeat","New"))</f>
        <v/>
      </c>
      <c r="T48" s="34" t="n"/>
    </row>
    <row r="49">
      <c r="A49" s="34" t="n"/>
      <c r="B49" s="45" t="n"/>
      <c r="C49" s="34" t="n"/>
      <c r="D49" s="34" t="n"/>
      <c r="E49" s="47" t="n"/>
      <c r="F49" s="34" t="n"/>
      <c r="G49" s="34" t="n"/>
      <c r="H49" s="34" t="n"/>
      <c r="I49" s="36" t="n"/>
      <c r="J49" s="46">
        <f>IF(G49="","",IFERROR(INDEX(Products!$B$2:$B$101,MATCH(G49,Products!$A$2:$A$101,0)),"Unknown SKU"))</f>
        <v/>
      </c>
      <c r="K49" s="34" t="n"/>
      <c r="L49" s="34" t="n"/>
      <c r="M49" s="36" t="n"/>
      <c r="N49" s="36" t="n"/>
      <c r="O49" s="44">
        <f>IF(OR(H49="",I49=""),"",H49*I49)</f>
        <v/>
      </c>
      <c r="P49" s="44">
        <f>IF(O49="","",O49*IFERROR(INDEX(Settings!$B$8:$B$15,MATCH(C49,Settings!$A$8:$A$15,0)),0))</f>
        <v/>
      </c>
      <c r="Q49" s="44">
        <f>IF(OR(G49="",H49=""),"",H49*IFERROR(INDEX(Products!$J$2:$J$101,MATCH(G49,Products!$A$2:$A$101,0)),0))</f>
        <v/>
      </c>
      <c r="R49" s="44">
        <f>IF(K49="Delivered",N(O49)+N(M49)-N(N49)-N(P49)-N(Q49),IF(OR(K49="Returned",K49="Failed delivery"),-N(N49),""))</f>
        <v/>
      </c>
      <c r="S49">
        <f>IF(E49="","",IF(MATCH(E49,$E$2:E49,0)&lt;ROWS($E$2:E49),"Repeat","New"))</f>
        <v/>
      </c>
      <c r="T49" s="34" t="n"/>
    </row>
    <row r="50">
      <c r="A50" s="34" t="n"/>
      <c r="B50" s="45" t="n"/>
      <c r="C50" s="34" t="n"/>
      <c r="D50" s="34" t="n"/>
      <c r="E50" s="47" t="n"/>
      <c r="F50" s="34" t="n"/>
      <c r="G50" s="34" t="n"/>
      <c r="H50" s="34" t="n"/>
      <c r="I50" s="36" t="n"/>
      <c r="J50" s="46">
        <f>IF(G50="","",IFERROR(INDEX(Products!$B$2:$B$101,MATCH(G50,Products!$A$2:$A$101,0)),"Unknown SKU"))</f>
        <v/>
      </c>
      <c r="K50" s="34" t="n"/>
      <c r="L50" s="34" t="n"/>
      <c r="M50" s="36" t="n"/>
      <c r="N50" s="36" t="n"/>
      <c r="O50" s="44">
        <f>IF(OR(H50="",I50=""),"",H50*I50)</f>
        <v/>
      </c>
      <c r="P50" s="44">
        <f>IF(O50="","",O50*IFERROR(INDEX(Settings!$B$8:$B$15,MATCH(C50,Settings!$A$8:$A$15,0)),0))</f>
        <v/>
      </c>
      <c r="Q50" s="44">
        <f>IF(OR(G50="",H50=""),"",H50*IFERROR(INDEX(Products!$J$2:$J$101,MATCH(G50,Products!$A$2:$A$101,0)),0))</f>
        <v/>
      </c>
      <c r="R50" s="44">
        <f>IF(K50="Delivered",N(O50)+N(M50)-N(N50)-N(P50)-N(Q50),IF(OR(K50="Returned",K50="Failed delivery"),-N(N50),""))</f>
        <v/>
      </c>
      <c r="S50">
        <f>IF(E50="","",IF(MATCH(E50,$E$2:E50,0)&lt;ROWS($E$2:E50),"Repeat","New"))</f>
        <v/>
      </c>
      <c r="T50" s="34" t="n"/>
    </row>
    <row r="51">
      <c r="A51" s="34" t="n"/>
      <c r="B51" s="45" t="n"/>
      <c r="C51" s="34" t="n"/>
      <c r="D51" s="34" t="n"/>
      <c r="E51" s="47" t="n"/>
      <c r="F51" s="34" t="n"/>
      <c r="G51" s="34" t="n"/>
      <c r="H51" s="34" t="n"/>
      <c r="I51" s="36" t="n"/>
      <c r="J51" s="46">
        <f>IF(G51="","",IFERROR(INDEX(Products!$B$2:$B$101,MATCH(G51,Products!$A$2:$A$101,0)),"Unknown SKU"))</f>
        <v/>
      </c>
      <c r="K51" s="34" t="n"/>
      <c r="L51" s="34" t="n"/>
      <c r="M51" s="36" t="n"/>
      <c r="N51" s="36" t="n"/>
      <c r="O51" s="44">
        <f>IF(OR(H51="",I51=""),"",H51*I51)</f>
        <v/>
      </c>
      <c r="P51" s="44">
        <f>IF(O51="","",O51*IFERROR(INDEX(Settings!$B$8:$B$15,MATCH(C51,Settings!$A$8:$A$15,0)),0))</f>
        <v/>
      </c>
      <c r="Q51" s="44">
        <f>IF(OR(G51="",H51=""),"",H51*IFERROR(INDEX(Products!$J$2:$J$101,MATCH(G51,Products!$A$2:$A$101,0)),0))</f>
        <v/>
      </c>
      <c r="R51" s="44">
        <f>IF(K51="Delivered",N(O51)+N(M51)-N(N51)-N(P51)-N(Q51),IF(OR(K51="Returned",K51="Failed delivery"),-N(N51),""))</f>
        <v/>
      </c>
      <c r="S51">
        <f>IF(E51="","",IF(MATCH(E51,$E$2:E51,0)&lt;ROWS($E$2:E51),"Repeat","New"))</f>
        <v/>
      </c>
      <c r="T51" s="34" t="n"/>
    </row>
    <row r="52">
      <c r="A52" s="34" t="n"/>
      <c r="B52" s="45" t="n"/>
      <c r="C52" s="34" t="n"/>
      <c r="D52" s="34" t="n"/>
      <c r="E52" s="47" t="n"/>
      <c r="F52" s="34" t="n"/>
      <c r="G52" s="34" t="n"/>
      <c r="H52" s="34" t="n"/>
      <c r="I52" s="36" t="n"/>
      <c r="J52" s="46">
        <f>IF(G52="","",IFERROR(INDEX(Products!$B$2:$B$101,MATCH(G52,Products!$A$2:$A$101,0)),"Unknown SKU"))</f>
        <v/>
      </c>
      <c r="K52" s="34" t="n"/>
      <c r="L52" s="34" t="n"/>
      <c r="M52" s="36" t="n"/>
      <c r="N52" s="36" t="n"/>
      <c r="O52" s="44">
        <f>IF(OR(H52="",I52=""),"",H52*I52)</f>
        <v/>
      </c>
      <c r="P52" s="44">
        <f>IF(O52="","",O52*IFERROR(INDEX(Settings!$B$8:$B$15,MATCH(C52,Settings!$A$8:$A$15,0)),0))</f>
        <v/>
      </c>
      <c r="Q52" s="44">
        <f>IF(OR(G52="",H52=""),"",H52*IFERROR(INDEX(Products!$J$2:$J$101,MATCH(G52,Products!$A$2:$A$101,0)),0))</f>
        <v/>
      </c>
      <c r="R52" s="44">
        <f>IF(K52="Delivered",N(O52)+N(M52)-N(N52)-N(P52)-N(Q52),IF(OR(K52="Returned",K52="Failed delivery"),-N(N52),""))</f>
        <v/>
      </c>
      <c r="S52">
        <f>IF(E52="","",IF(MATCH(E52,$E$2:E52,0)&lt;ROWS($E$2:E52),"Repeat","New"))</f>
        <v/>
      </c>
      <c r="T52" s="34" t="n"/>
    </row>
    <row r="53">
      <c r="A53" s="34" t="n"/>
      <c r="B53" s="45" t="n"/>
      <c r="C53" s="34" t="n"/>
      <c r="D53" s="34" t="n"/>
      <c r="E53" s="47" t="n"/>
      <c r="F53" s="34" t="n"/>
      <c r="G53" s="34" t="n"/>
      <c r="H53" s="34" t="n"/>
      <c r="I53" s="36" t="n"/>
      <c r="J53" s="46">
        <f>IF(G53="","",IFERROR(INDEX(Products!$B$2:$B$101,MATCH(G53,Products!$A$2:$A$101,0)),"Unknown SKU"))</f>
        <v/>
      </c>
      <c r="K53" s="34" t="n"/>
      <c r="L53" s="34" t="n"/>
      <c r="M53" s="36" t="n"/>
      <c r="N53" s="36" t="n"/>
      <c r="O53" s="44">
        <f>IF(OR(H53="",I53=""),"",H53*I53)</f>
        <v/>
      </c>
      <c r="P53" s="44">
        <f>IF(O53="","",O53*IFERROR(INDEX(Settings!$B$8:$B$15,MATCH(C53,Settings!$A$8:$A$15,0)),0))</f>
        <v/>
      </c>
      <c r="Q53" s="44">
        <f>IF(OR(G53="",H53=""),"",H53*IFERROR(INDEX(Products!$J$2:$J$101,MATCH(G53,Products!$A$2:$A$101,0)),0))</f>
        <v/>
      </c>
      <c r="R53" s="44">
        <f>IF(K53="Delivered",N(O53)+N(M53)-N(N53)-N(P53)-N(Q53),IF(OR(K53="Returned",K53="Failed delivery"),-N(N53),""))</f>
        <v/>
      </c>
      <c r="S53">
        <f>IF(E53="","",IF(MATCH(E53,$E$2:E53,0)&lt;ROWS($E$2:E53),"Repeat","New"))</f>
        <v/>
      </c>
      <c r="T53" s="34" t="n"/>
    </row>
    <row r="54">
      <c r="A54" s="34" t="n"/>
      <c r="B54" s="45" t="n"/>
      <c r="C54" s="34" t="n"/>
      <c r="D54" s="34" t="n"/>
      <c r="E54" s="47" t="n"/>
      <c r="F54" s="34" t="n"/>
      <c r="G54" s="34" t="n"/>
      <c r="H54" s="34" t="n"/>
      <c r="I54" s="36" t="n"/>
      <c r="J54" s="46">
        <f>IF(G54="","",IFERROR(INDEX(Products!$B$2:$B$101,MATCH(G54,Products!$A$2:$A$101,0)),"Unknown SKU"))</f>
        <v/>
      </c>
      <c r="K54" s="34" t="n"/>
      <c r="L54" s="34" t="n"/>
      <c r="M54" s="36" t="n"/>
      <c r="N54" s="36" t="n"/>
      <c r="O54" s="44">
        <f>IF(OR(H54="",I54=""),"",H54*I54)</f>
        <v/>
      </c>
      <c r="P54" s="44">
        <f>IF(O54="","",O54*IFERROR(INDEX(Settings!$B$8:$B$15,MATCH(C54,Settings!$A$8:$A$15,0)),0))</f>
        <v/>
      </c>
      <c r="Q54" s="44">
        <f>IF(OR(G54="",H54=""),"",H54*IFERROR(INDEX(Products!$J$2:$J$101,MATCH(G54,Products!$A$2:$A$101,0)),0))</f>
        <v/>
      </c>
      <c r="R54" s="44">
        <f>IF(K54="Delivered",N(O54)+N(M54)-N(N54)-N(P54)-N(Q54),IF(OR(K54="Returned",K54="Failed delivery"),-N(N54),""))</f>
        <v/>
      </c>
      <c r="S54">
        <f>IF(E54="","",IF(MATCH(E54,$E$2:E54,0)&lt;ROWS($E$2:E54),"Repeat","New"))</f>
        <v/>
      </c>
      <c r="T54" s="34" t="n"/>
    </row>
    <row r="55">
      <c r="A55" s="34" t="n"/>
      <c r="B55" s="45" t="n"/>
      <c r="C55" s="34" t="n"/>
      <c r="D55" s="34" t="n"/>
      <c r="E55" s="47" t="n"/>
      <c r="F55" s="34" t="n"/>
      <c r="G55" s="34" t="n"/>
      <c r="H55" s="34" t="n"/>
      <c r="I55" s="36" t="n"/>
      <c r="J55" s="46">
        <f>IF(G55="","",IFERROR(INDEX(Products!$B$2:$B$101,MATCH(G55,Products!$A$2:$A$101,0)),"Unknown SKU"))</f>
        <v/>
      </c>
      <c r="K55" s="34" t="n"/>
      <c r="L55" s="34" t="n"/>
      <c r="M55" s="36" t="n"/>
      <c r="N55" s="36" t="n"/>
      <c r="O55" s="44">
        <f>IF(OR(H55="",I55=""),"",H55*I55)</f>
        <v/>
      </c>
      <c r="P55" s="44">
        <f>IF(O55="","",O55*IFERROR(INDEX(Settings!$B$8:$B$15,MATCH(C55,Settings!$A$8:$A$15,0)),0))</f>
        <v/>
      </c>
      <c r="Q55" s="44">
        <f>IF(OR(G55="",H55=""),"",H55*IFERROR(INDEX(Products!$J$2:$J$101,MATCH(G55,Products!$A$2:$A$101,0)),0))</f>
        <v/>
      </c>
      <c r="R55" s="44">
        <f>IF(K55="Delivered",N(O55)+N(M55)-N(N55)-N(P55)-N(Q55),IF(OR(K55="Returned",K55="Failed delivery"),-N(N55),""))</f>
        <v/>
      </c>
      <c r="S55">
        <f>IF(E55="","",IF(MATCH(E55,$E$2:E55,0)&lt;ROWS($E$2:E55),"Repeat","New"))</f>
        <v/>
      </c>
      <c r="T55" s="34" t="n"/>
    </row>
    <row r="56">
      <c r="A56" s="34" t="n"/>
      <c r="B56" s="45" t="n"/>
      <c r="C56" s="34" t="n"/>
      <c r="D56" s="34" t="n"/>
      <c r="E56" s="47" t="n"/>
      <c r="F56" s="34" t="n"/>
      <c r="G56" s="34" t="n"/>
      <c r="H56" s="34" t="n"/>
      <c r="I56" s="36" t="n"/>
      <c r="J56" s="46">
        <f>IF(G56="","",IFERROR(INDEX(Products!$B$2:$B$101,MATCH(G56,Products!$A$2:$A$101,0)),"Unknown SKU"))</f>
        <v/>
      </c>
      <c r="K56" s="34" t="n"/>
      <c r="L56" s="34" t="n"/>
      <c r="M56" s="36" t="n"/>
      <c r="N56" s="36" t="n"/>
      <c r="O56" s="44">
        <f>IF(OR(H56="",I56=""),"",H56*I56)</f>
        <v/>
      </c>
      <c r="P56" s="44">
        <f>IF(O56="","",O56*IFERROR(INDEX(Settings!$B$8:$B$15,MATCH(C56,Settings!$A$8:$A$15,0)),0))</f>
        <v/>
      </c>
      <c r="Q56" s="44">
        <f>IF(OR(G56="",H56=""),"",H56*IFERROR(INDEX(Products!$J$2:$J$101,MATCH(G56,Products!$A$2:$A$101,0)),0))</f>
        <v/>
      </c>
      <c r="R56" s="44">
        <f>IF(K56="Delivered",N(O56)+N(M56)-N(N56)-N(P56)-N(Q56),IF(OR(K56="Returned",K56="Failed delivery"),-N(N56),""))</f>
        <v/>
      </c>
      <c r="S56">
        <f>IF(E56="","",IF(MATCH(E56,$E$2:E56,0)&lt;ROWS($E$2:E56),"Repeat","New"))</f>
        <v/>
      </c>
      <c r="T56" s="34" t="n"/>
    </row>
    <row r="57">
      <c r="A57" s="34" t="n"/>
      <c r="B57" s="45" t="n"/>
      <c r="C57" s="34" t="n"/>
      <c r="D57" s="34" t="n"/>
      <c r="E57" s="47" t="n"/>
      <c r="F57" s="34" t="n"/>
      <c r="G57" s="34" t="n"/>
      <c r="H57" s="34" t="n"/>
      <c r="I57" s="36" t="n"/>
      <c r="J57" s="46">
        <f>IF(G57="","",IFERROR(INDEX(Products!$B$2:$B$101,MATCH(G57,Products!$A$2:$A$101,0)),"Unknown SKU"))</f>
        <v/>
      </c>
      <c r="K57" s="34" t="n"/>
      <c r="L57" s="34" t="n"/>
      <c r="M57" s="36" t="n"/>
      <c r="N57" s="36" t="n"/>
      <c r="O57" s="44">
        <f>IF(OR(H57="",I57=""),"",H57*I57)</f>
        <v/>
      </c>
      <c r="P57" s="44">
        <f>IF(O57="","",O57*IFERROR(INDEX(Settings!$B$8:$B$15,MATCH(C57,Settings!$A$8:$A$15,0)),0))</f>
        <v/>
      </c>
      <c r="Q57" s="44">
        <f>IF(OR(G57="",H57=""),"",H57*IFERROR(INDEX(Products!$J$2:$J$101,MATCH(G57,Products!$A$2:$A$101,0)),0))</f>
        <v/>
      </c>
      <c r="R57" s="44">
        <f>IF(K57="Delivered",N(O57)+N(M57)-N(N57)-N(P57)-N(Q57),IF(OR(K57="Returned",K57="Failed delivery"),-N(N57),""))</f>
        <v/>
      </c>
      <c r="S57">
        <f>IF(E57="","",IF(MATCH(E57,$E$2:E57,0)&lt;ROWS($E$2:E57),"Repeat","New"))</f>
        <v/>
      </c>
      <c r="T57" s="34" t="n"/>
    </row>
    <row r="58">
      <c r="A58" s="34" t="n"/>
      <c r="B58" s="45" t="n"/>
      <c r="C58" s="34" t="n"/>
      <c r="D58" s="34" t="n"/>
      <c r="E58" s="47" t="n"/>
      <c r="F58" s="34" t="n"/>
      <c r="G58" s="34" t="n"/>
      <c r="H58" s="34" t="n"/>
      <c r="I58" s="36" t="n"/>
      <c r="J58" s="46">
        <f>IF(G58="","",IFERROR(INDEX(Products!$B$2:$B$101,MATCH(G58,Products!$A$2:$A$101,0)),"Unknown SKU"))</f>
        <v/>
      </c>
      <c r="K58" s="34" t="n"/>
      <c r="L58" s="34" t="n"/>
      <c r="M58" s="36" t="n"/>
      <c r="N58" s="36" t="n"/>
      <c r="O58" s="44">
        <f>IF(OR(H58="",I58=""),"",H58*I58)</f>
        <v/>
      </c>
      <c r="P58" s="44">
        <f>IF(O58="","",O58*IFERROR(INDEX(Settings!$B$8:$B$15,MATCH(C58,Settings!$A$8:$A$15,0)),0))</f>
        <v/>
      </c>
      <c r="Q58" s="44">
        <f>IF(OR(G58="",H58=""),"",H58*IFERROR(INDEX(Products!$J$2:$J$101,MATCH(G58,Products!$A$2:$A$101,0)),0))</f>
        <v/>
      </c>
      <c r="R58" s="44">
        <f>IF(K58="Delivered",N(O58)+N(M58)-N(N58)-N(P58)-N(Q58),IF(OR(K58="Returned",K58="Failed delivery"),-N(N58),""))</f>
        <v/>
      </c>
      <c r="S58">
        <f>IF(E58="","",IF(MATCH(E58,$E$2:E58,0)&lt;ROWS($E$2:E58),"Repeat","New"))</f>
        <v/>
      </c>
      <c r="T58" s="34" t="n"/>
    </row>
    <row r="59">
      <c r="A59" s="34" t="n"/>
      <c r="B59" s="45" t="n"/>
      <c r="C59" s="34" t="n"/>
      <c r="D59" s="34" t="n"/>
      <c r="E59" s="47" t="n"/>
      <c r="F59" s="34" t="n"/>
      <c r="G59" s="34" t="n"/>
      <c r="H59" s="34" t="n"/>
      <c r="I59" s="36" t="n"/>
      <c r="J59" s="46">
        <f>IF(G59="","",IFERROR(INDEX(Products!$B$2:$B$101,MATCH(G59,Products!$A$2:$A$101,0)),"Unknown SKU"))</f>
        <v/>
      </c>
      <c r="K59" s="34" t="n"/>
      <c r="L59" s="34" t="n"/>
      <c r="M59" s="36" t="n"/>
      <c r="N59" s="36" t="n"/>
      <c r="O59" s="44">
        <f>IF(OR(H59="",I59=""),"",H59*I59)</f>
        <v/>
      </c>
      <c r="P59" s="44">
        <f>IF(O59="","",O59*IFERROR(INDEX(Settings!$B$8:$B$15,MATCH(C59,Settings!$A$8:$A$15,0)),0))</f>
        <v/>
      </c>
      <c r="Q59" s="44">
        <f>IF(OR(G59="",H59=""),"",H59*IFERROR(INDEX(Products!$J$2:$J$101,MATCH(G59,Products!$A$2:$A$101,0)),0))</f>
        <v/>
      </c>
      <c r="R59" s="44">
        <f>IF(K59="Delivered",N(O59)+N(M59)-N(N59)-N(P59)-N(Q59),IF(OR(K59="Returned",K59="Failed delivery"),-N(N59),""))</f>
        <v/>
      </c>
      <c r="S59">
        <f>IF(E59="","",IF(MATCH(E59,$E$2:E59,0)&lt;ROWS($E$2:E59),"Repeat","New"))</f>
        <v/>
      </c>
      <c r="T59" s="34" t="n"/>
    </row>
    <row r="60">
      <c r="A60" s="34" t="n"/>
      <c r="B60" s="45" t="n"/>
      <c r="C60" s="34" t="n"/>
      <c r="D60" s="34" t="n"/>
      <c r="E60" s="47" t="n"/>
      <c r="F60" s="34" t="n"/>
      <c r="G60" s="34" t="n"/>
      <c r="H60" s="34" t="n"/>
      <c r="I60" s="36" t="n"/>
      <c r="J60" s="46">
        <f>IF(G60="","",IFERROR(INDEX(Products!$B$2:$B$101,MATCH(G60,Products!$A$2:$A$101,0)),"Unknown SKU"))</f>
        <v/>
      </c>
      <c r="K60" s="34" t="n"/>
      <c r="L60" s="34" t="n"/>
      <c r="M60" s="36" t="n"/>
      <c r="N60" s="36" t="n"/>
      <c r="O60" s="44">
        <f>IF(OR(H60="",I60=""),"",H60*I60)</f>
        <v/>
      </c>
      <c r="P60" s="44">
        <f>IF(O60="","",O60*IFERROR(INDEX(Settings!$B$8:$B$15,MATCH(C60,Settings!$A$8:$A$15,0)),0))</f>
        <v/>
      </c>
      <c r="Q60" s="44">
        <f>IF(OR(G60="",H60=""),"",H60*IFERROR(INDEX(Products!$J$2:$J$101,MATCH(G60,Products!$A$2:$A$101,0)),0))</f>
        <v/>
      </c>
      <c r="R60" s="44">
        <f>IF(K60="Delivered",N(O60)+N(M60)-N(N60)-N(P60)-N(Q60),IF(OR(K60="Returned",K60="Failed delivery"),-N(N60),""))</f>
        <v/>
      </c>
      <c r="S60">
        <f>IF(E60="","",IF(MATCH(E60,$E$2:E60,0)&lt;ROWS($E$2:E60),"Repeat","New"))</f>
        <v/>
      </c>
      <c r="T60" s="34" t="n"/>
    </row>
    <row r="61">
      <c r="A61" s="34" t="n"/>
      <c r="B61" s="45" t="n"/>
      <c r="C61" s="34" t="n"/>
      <c r="D61" s="34" t="n"/>
      <c r="E61" s="47" t="n"/>
      <c r="F61" s="34" t="n"/>
      <c r="G61" s="34" t="n"/>
      <c r="H61" s="34" t="n"/>
      <c r="I61" s="36" t="n"/>
      <c r="J61" s="46">
        <f>IF(G61="","",IFERROR(INDEX(Products!$B$2:$B$101,MATCH(G61,Products!$A$2:$A$101,0)),"Unknown SKU"))</f>
        <v/>
      </c>
      <c r="K61" s="34" t="n"/>
      <c r="L61" s="34" t="n"/>
      <c r="M61" s="36" t="n"/>
      <c r="N61" s="36" t="n"/>
      <c r="O61" s="44">
        <f>IF(OR(H61="",I61=""),"",H61*I61)</f>
        <v/>
      </c>
      <c r="P61" s="44">
        <f>IF(O61="","",O61*IFERROR(INDEX(Settings!$B$8:$B$15,MATCH(C61,Settings!$A$8:$A$15,0)),0))</f>
        <v/>
      </c>
      <c r="Q61" s="44">
        <f>IF(OR(G61="",H61=""),"",H61*IFERROR(INDEX(Products!$J$2:$J$101,MATCH(G61,Products!$A$2:$A$101,0)),0))</f>
        <v/>
      </c>
      <c r="R61" s="44">
        <f>IF(K61="Delivered",N(O61)+N(M61)-N(N61)-N(P61)-N(Q61),IF(OR(K61="Returned",K61="Failed delivery"),-N(N61),""))</f>
        <v/>
      </c>
      <c r="S61">
        <f>IF(E61="","",IF(MATCH(E61,$E$2:E61,0)&lt;ROWS($E$2:E61),"Repeat","New"))</f>
        <v/>
      </c>
      <c r="T61" s="34" t="n"/>
    </row>
    <row r="62">
      <c r="A62" s="34" t="n"/>
      <c r="B62" s="45" t="n"/>
      <c r="C62" s="34" t="n"/>
      <c r="D62" s="34" t="n"/>
      <c r="E62" s="47" t="n"/>
      <c r="F62" s="34" t="n"/>
      <c r="G62" s="34" t="n"/>
      <c r="H62" s="34" t="n"/>
      <c r="I62" s="36" t="n"/>
      <c r="J62" s="46">
        <f>IF(G62="","",IFERROR(INDEX(Products!$B$2:$B$101,MATCH(G62,Products!$A$2:$A$101,0)),"Unknown SKU"))</f>
        <v/>
      </c>
      <c r="K62" s="34" t="n"/>
      <c r="L62" s="34" t="n"/>
      <c r="M62" s="36" t="n"/>
      <c r="N62" s="36" t="n"/>
      <c r="O62" s="44">
        <f>IF(OR(H62="",I62=""),"",H62*I62)</f>
        <v/>
      </c>
      <c r="P62" s="44">
        <f>IF(O62="","",O62*IFERROR(INDEX(Settings!$B$8:$B$15,MATCH(C62,Settings!$A$8:$A$15,0)),0))</f>
        <v/>
      </c>
      <c r="Q62" s="44">
        <f>IF(OR(G62="",H62=""),"",H62*IFERROR(INDEX(Products!$J$2:$J$101,MATCH(G62,Products!$A$2:$A$101,0)),0))</f>
        <v/>
      </c>
      <c r="R62" s="44">
        <f>IF(K62="Delivered",N(O62)+N(M62)-N(N62)-N(P62)-N(Q62),IF(OR(K62="Returned",K62="Failed delivery"),-N(N62),""))</f>
        <v/>
      </c>
      <c r="S62">
        <f>IF(E62="","",IF(MATCH(E62,$E$2:E62,0)&lt;ROWS($E$2:E62),"Repeat","New"))</f>
        <v/>
      </c>
      <c r="T62" s="34" t="n"/>
    </row>
    <row r="63">
      <c r="A63" s="34" t="n"/>
      <c r="B63" s="45" t="n"/>
      <c r="C63" s="34" t="n"/>
      <c r="D63" s="34" t="n"/>
      <c r="E63" s="47" t="n"/>
      <c r="F63" s="34" t="n"/>
      <c r="G63" s="34" t="n"/>
      <c r="H63" s="34" t="n"/>
      <c r="I63" s="36" t="n"/>
      <c r="J63" s="46">
        <f>IF(G63="","",IFERROR(INDEX(Products!$B$2:$B$101,MATCH(G63,Products!$A$2:$A$101,0)),"Unknown SKU"))</f>
        <v/>
      </c>
      <c r="K63" s="34" t="n"/>
      <c r="L63" s="34" t="n"/>
      <c r="M63" s="36" t="n"/>
      <c r="N63" s="36" t="n"/>
      <c r="O63" s="44">
        <f>IF(OR(H63="",I63=""),"",H63*I63)</f>
        <v/>
      </c>
      <c r="P63" s="44">
        <f>IF(O63="","",O63*IFERROR(INDEX(Settings!$B$8:$B$15,MATCH(C63,Settings!$A$8:$A$15,0)),0))</f>
        <v/>
      </c>
      <c r="Q63" s="44">
        <f>IF(OR(G63="",H63=""),"",H63*IFERROR(INDEX(Products!$J$2:$J$101,MATCH(G63,Products!$A$2:$A$101,0)),0))</f>
        <v/>
      </c>
      <c r="R63" s="44">
        <f>IF(K63="Delivered",N(O63)+N(M63)-N(N63)-N(P63)-N(Q63),IF(OR(K63="Returned",K63="Failed delivery"),-N(N63),""))</f>
        <v/>
      </c>
      <c r="S63">
        <f>IF(E63="","",IF(MATCH(E63,$E$2:E63,0)&lt;ROWS($E$2:E63),"Repeat","New"))</f>
        <v/>
      </c>
      <c r="T63" s="34" t="n"/>
    </row>
    <row r="64">
      <c r="A64" s="34" t="n"/>
      <c r="B64" s="45" t="n"/>
      <c r="C64" s="34" t="n"/>
      <c r="D64" s="34" t="n"/>
      <c r="E64" s="47" t="n"/>
      <c r="F64" s="34" t="n"/>
      <c r="G64" s="34" t="n"/>
      <c r="H64" s="34" t="n"/>
      <c r="I64" s="36" t="n"/>
      <c r="J64" s="46">
        <f>IF(G64="","",IFERROR(INDEX(Products!$B$2:$B$101,MATCH(G64,Products!$A$2:$A$101,0)),"Unknown SKU"))</f>
        <v/>
      </c>
      <c r="K64" s="34" t="n"/>
      <c r="L64" s="34" t="n"/>
      <c r="M64" s="36" t="n"/>
      <c r="N64" s="36" t="n"/>
      <c r="O64" s="44">
        <f>IF(OR(H64="",I64=""),"",H64*I64)</f>
        <v/>
      </c>
      <c r="P64" s="44">
        <f>IF(O64="","",O64*IFERROR(INDEX(Settings!$B$8:$B$15,MATCH(C64,Settings!$A$8:$A$15,0)),0))</f>
        <v/>
      </c>
      <c r="Q64" s="44">
        <f>IF(OR(G64="",H64=""),"",H64*IFERROR(INDEX(Products!$J$2:$J$101,MATCH(G64,Products!$A$2:$A$101,0)),0))</f>
        <v/>
      </c>
      <c r="R64" s="44">
        <f>IF(K64="Delivered",N(O64)+N(M64)-N(N64)-N(P64)-N(Q64),IF(OR(K64="Returned",K64="Failed delivery"),-N(N64),""))</f>
        <v/>
      </c>
      <c r="S64">
        <f>IF(E64="","",IF(MATCH(E64,$E$2:E64,0)&lt;ROWS($E$2:E64),"Repeat","New"))</f>
        <v/>
      </c>
      <c r="T64" s="34" t="n"/>
    </row>
    <row r="65">
      <c r="A65" s="34" t="n"/>
      <c r="B65" s="45" t="n"/>
      <c r="C65" s="34" t="n"/>
      <c r="D65" s="34" t="n"/>
      <c r="E65" s="47" t="n"/>
      <c r="F65" s="34" t="n"/>
      <c r="G65" s="34" t="n"/>
      <c r="H65" s="34" t="n"/>
      <c r="I65" s="36" t="n"/>
      <c r="J65" s="46">
        <f>IF(G65="","",IFERROR(INDEX(Products!$B$2:$B$101,MATCH(G65,Products!$A$2:$A$101,0)),"Unknown SKU"))</f>
        <v/>
      </c>
      <c r="K65" s="34" t="n"/>
      <c r="L65" s="34" t="n"/>
      <c r="M65" s="36" t="n"/>
      <c r="N65" s="36" t="n"/>
      <c r="O65" s="44">
        <f>IF(OR(H65="",I65=""),"",H65*I65)</f>
        <v/>
      </c>
      <c r="P65" s="44">
        <f>IF(O65="","",O65*IFERROR(INDEX(Settings!$B$8:$B$15,MATCH(C65,Settings!$A$8:$A$15,0)),0))</f>
        <v/>
      </c>
      <c r="Q65" s="44">
        <f>IF(OR(G65="",H65=""),"",H65*IFERROR(INDEX(Products!$J$2:$J$101,MATCH(G65,Products!$A$2:$A$101,0)),0))</f>
        <v/>
      </c>
      <c r="R65" s="44">
        <f>IF(K65="Delivered",N(O65)+N(M65)-N(N65)-N(P65)-N(Q65),IF(OR(K65="Returned",K65="Failed delivery"),-N(N65),""))</f>
        <v/>
      </c>
      <c r="S65">
        <f>IF(E65="","",IF(MATCH(E65,$E$2:E65,0)&lt;ROWS($E$2:E65),"Repeat","New"))</f>
        <v/>
      </c>
      <c r="T65" s="34" t="n"/>
    </row>
    <row r="66">
      <c r="A66" s="34" t="n"/>
      <c r="B66" s="45" t="n"/>
      <c r="C66" s="34" t="n"/>
      <c r="D66" s="34" t="n"/>
      <c r="E66" s="47" t="n"/>
      <c r="F66" s="34" t="n"/>
      <c r="G66" s="34" t="n"/>
      <c r="H66" s="34" t="n"/>
      <c r="I66" s="36" t="n"/>
      <c r="J66" s="46">
        <f>IF(G66="","",IFERROR(INDEX(Products!$B$2:$B$101,MATCH(G66,Products!$A$2:$A$101,0)),"Unknown SKU"))</f>
        <v/>
      </c>
      <c r="K66" s="34" t="n"/>
      <c r="L66" s="34" t="n"/>
      <c r="M66" s="36" t="n"/>
      <c r="N66" s="36" t="n"/>
      <c r="O66" s="44">
        <f>IF(OR(H66="",I66=""),"",H66*I66)</f>
        <v/>
      </c>
      <c r="P66" s="44">
        <f>IF(O66="","",O66*IFERROR(INDEX(Settings!$B$8:$B$15,MATCH(C66,Settings!$A$8:$A$15,0)),0))</f>
        <v/>
      </c>
      <c r="Q66" s="44">
        <f>IF(OR(G66="",H66=""),"",H66*IFERROR(INDEX(Products!$J$2:$J$101,MATCH(G66,Products!$A$2:$A$101,0)),0))</f>
        <v/>
      </c>
      <c r="R66" s="44">
        <f>IF(K66="Delivered",N(O66)+N(M66)-N(N66)-N(P66)-N(Q66),IF(OR(K66="Returned",K66="Failed delivery"),-N(N66),""))</f>
        <v/>
      </c>
      <c r="S66">
        <f>IF(E66="","",IF(MATCH(E66,$E$2:E66,0)&lt;ROWS($E$2:E66),"Repeat","New"))</f>
        <v/>
      </c>
      <c r="T66" s="34" t="n"/>
    </row>
    <row r="67">
      <c r="A67" s="34" t="n"/>
      <c r="B67" s="45" t="n"/>
      <c r="C67" s="34" t="n"/>
      <c r="D67" s="34" t="n"/>
      <c r="E67" s="47" t="n"/>
      <c r="F67" s="34" t="n"/>
      <c r="G67" s="34" t="n"/>
      <c r="H67" s="34" t="n"/>
      <c r="I67" s="36" t="n"/>
      <c r="J67" s="46">
        <f>IF(G67="","",IFERROR(INDEX(Products!$B$2:$B$101,MATCH(G67,Products!$A$2:$A$101,0)),"Unknown SKU"))</f>
        <v/>
      </c>
      <c r="K67" s="34" t="n"/>
      <c r="L67" s="34" t="n"/>
      <c r="M67" s="36" t="n"/>
      <c r="N67" s="36" t="n"/>
      <c r="O67" s="44">
        <f>IF(OR(H67="",I67=""),"",H67*I67)</f>
        <v/>
      </c>
      <c r="P67" s="44">
        <f>IF(O67="","",O67*IFERROR(INDEX(Settings!$B$8:$B$15,MATCH(C67,Settings!$A$8:$A$15,0)),0))</f>
        <v/>
      </c>
      <c r="Q67" s="44">
        <f>IF(OR(G67="",H67=""),"",H67*IFERROR(INDEX(Products!$J$2:$J$101,MATCH(G67,Products!$A$2:$A$101,0)),0))</f>
        <v/>
      </c>
      <c r="R67" s="44">
        <f>IF(K67="Delivered",N(O67)+N(M67)-N(N67)-N(P67)-N(Q67),IF(OR(K67="Returned",K67="Failed delivery"),-N(N67),""))</f>
        <v/>
      </c>
      <c r="S67">
        <f>IF(E67="","",IF(MATCH(E67,$E$2:E67,0)&lt;ROWS($E$2:E67),"Repeat","New"))</f>
        <v/>
      </c>
      <c r="T67" s="34" t="n"/>
    </row>
    <row r="68">
      <c r="A68" s="34" t="n"/>
      <c r="B68" s="45" t="n"/>
      <c r="C68" s="34" t="n"/>
      <c r="D68" s="34" t="n"/>
      <c r="E68" s="47" t="n"/>
      <c r="F68" s="34" t="n"/>
      <c r="G68" s="34" t="n"/>
      <c r="H68" s="34" t="n"/>
      <c r="I68" s="36" t="n"/>
      <c r="J68" s="46">
        <f>IF(G68="","",IFERROR(INDEX(Products!$B$2:$B$101,MATCH(G68,Products!$A$2:$A$101,0)),"Unknown SKU"))</f>
        <v/>
      </c>
      <c r="K68" s="34" t="n"/>
      <c r="L68" s="34" t="n"/>
      <c r="M68" s="36" t="n"/>
      <c r="N68" s="36" t="n"/>
      <c r="O68" s="44">
        <f>IF(OR(H68="",I68=""),"",H68*I68)</f>
        <v/>
      </c>
      <c r="P68" s="44">
        <f>IF(O68="","",O68*IFERROR(INDEX(Settings!$B$8:$B$15,MATCH(C68,Settings!$A$8:$A$15,0)),0))</f>
        <v/>
      </c>
      <c r="Q68" s="44">
        <f>IF(OR(G68="",H68=""),"",H68*IFERROR(INDEX(Products!$J$2:$J$101,MATCH(G68,Products!$A$2:$A$101,0)),0))</f>
        <v/>
      </c>
      <c r="R68" s="44">
        <f>IF(K68="Delivered",N(O68)+N(M68)-N(N68)-N(P68)-N(Q68),IF(OR(K68="Returned",K68="Failed delivery"),-N(N68),""))</f>
        <v/>
      </c>
      <c r="S68">
        <f>IF(E68="","",IF(MATCH(E68,$E$2:E68,0)&lt;ROWS($E$2:E68),"Repeat","New"))</f>
        <v/>
      </c>
      <c r="T68" s="34" t="n"/>
    </row>
    <row r="69">
      <c r="A69" s="34" t="n"/>
      <c r="B69" s="45" t="n"/>
      <c r="C69" s="34" t="n"/>
      <c r="D69" s="34" t="n"/>
      <c r="E69" s="47" t="n"/>
      <c r="F69" s="34" t="n"/>
      <c r="G69" s="34" t="n"/>
      <c r="H69" s="34" t="n"/>
      <c r="I69" s="36" t="n"/>
      <c r="J69" s="46">
        <f>IF(G69="","",IFERROR(INDEX(Products!$B$2:$B$101,MATCH(G69,Products!$A$2:$A$101,0)),"Unknown SKU"))</f>
        <v/>
      </c>
      <c r="K69" s="34" t="n"/>
      <c r="L69" s="34" t="n"/>
      <c r="M69" s="36" t="n"/>
      <c r="N69" s="36" t="n"/>
      <c r="O69" s="44">
        <f>IF(OR(H69="",I69=""),"",H69*I69)</f>
        <v/>
      </c>
      <c r="P69" s="44">
        <f>IF(O69="","",O69*IFERROR(INDEX(Settings!$B$8:$B$15,MATCH(C69,Settings!$A$8:$A$15,0)),0))</f>
        <v/>
      </c>
      <c r="Q69" s="44">
        <f>IF(OR(G69="",H69=""),"",H69*IFERROR(INDEX(Products!$J$2:$J$101,MATCH(G69,Products!$A$2:$A$101,0)),0))</f>
        <v/>
      </c>
      <c r="R69" s="44">
        <f>IF(K69="Delivered",N(O69)+N(M69)-N(N69)-N(P69)-N(Q69),IF(OR(K69="Returned",K69="Failed delivery"),-N(N69),""))</f>
        <v/>
      </c>
      <c r="S69">
        <f>IF(E69="","",IF(MATCH(E69,$E$2:E69,0)&lt;ROWS($E$2:E69),"Repeat","New"))</f>
        <v/>
      </c>
      <c r="T69" s="34" t="n"/>
    </row>
    <row r="70">
      <c r="A70" s="34" t="n"/>
      <c r="B70" s="45" t="n"/>
      <c r="C70" s="34" t="n"/>
      <c r="D70" s="34" t="n"/>
      <c r="E70" s="47" t="n"/>
      <c r="F70" s="34" t="n"/>
      <c r="G70" s="34" t="n"/>
      <c r="H70" s="34" t="n"/>
      <c r="I70" s="36" t="n"/>
      <c r="J70" s="46">
        <f>IF(G70="","",IFERROR(INDEX(Products!$B$2:$B$101,MATCH(G70,Products!$A$2:$A$101,0)),"Unknown SKU"))</f>
        <v/>
      </c>
      <c r="K70" s="34" t="n"/>
      <c r="L70" s="34" t="n"/>
      <c r="M70" s="36" t="n"/>
      <c r="N70" s="36" t="n"/>
      <c r="O70" s="44">
        <f>IF(OR(H70="",I70=""),"",H70*I70)</f>
        <v/>
      </c>
      <c r="P70" s="44">
        <f>IF(O70="","",O70*IFERROR(INDEX(Settings!$B$8:$B$15,MATCH(C70,Settings!$A$8:$A$15,0)),0))</f>
        <v/>
      </c>
      <c r="Q70" s="44">
        <f>IF(OR(G70="",H70=""),"",H70*IFERROR(INDEX(Products!$J$2:$J$101,MATCH(G70,Products!$A$2:$A$101,0)),0))</f>
        <v/>
      </c>
      <c r="R70" s="44">
        <f>IF(K70="Delivered",N(O70)+N(M70)-N(N70)-N(P70)-N(Q70),IF(OR(K70="Returned",K70="Failed delivery"),-N(N70),""))</f>
        <v/>
      </c>
      <c r="S70">
        <f>IF(E70="","",IF(MATCH(E70,$E$2:E70,0)&lt;ROWS($E$2:E70),"Repeat","New"))</f>
        <v/>
      </c>
      <c r="T70" s="34" t="n"/>
    </row>
    <row r="71">
      <c r="A71" s="34" t="n"/>
      <c r="B71" s="45" t="n"/>
      <c r="C71" s="34" t="n"/>
      <c r="D71" s="34" t="n"/>
      <c r="E71" s="47" t="n"/>
      <c r="F71" s="34" t="n"/>
      <c r="G71" s="34" t="n"/>
      <c r="H71" s="34" t="n"/>
      <c r="I71" s="36" t="n"/>
      <c r="J71" s="46">
        <f>IF(G71="","",IFERROR(INDEX(Products!$B$2:$B$101,MATCH(G71,Products!$A$2:$A$101,0)),"Unknown SKU"))</f>
        <v/>
      </c>
      <c r="K71" s="34" t="n"/>
      <c r="L71" s="34" t="n"/>
      <c r="M71" s="36" t="n"/>
      <c r="N71" s="36" t="n"/>
      <c r="O71" s="44">
        <f>IF(OR(H71="",I71=""),"",H71*I71)</f>
        <v/>
      </c>
      <c r="P71" s="44">
        <f>IF(O71="","",O71*IFERROR(INDEX(Settings!$B$8:$B$15,MATCH(C71,Settings!$A$8:$A$15,0)),0))</f>
        <v/>
      </c>
      <c r="Q71" s="44">
        <f>IF(OR(G71="",H71=""),"",H71*IFERROR(INDEX(Products!$J$2:$J$101,MATCH(G71,Products!$A$2:$A$101,0)),0))</f>
        <v/>
      </c>
      <c r="R71" s="44">
        <f>IF(K71="Delivered",N(O71)+N(M71)-N(N71)-N(P71)-N(Q71),IF(OR(K71="Returned",K71="Failed delivery"),-N(N71),""))</f>
        <v/>
      </c>
      <c r="S71">
        <f>IF(E71="","",IF(MATCH(E71,$E$2:E71,0)&lt;ROWS($E$2:E71),"Repeat","New"))</f>
        <v/>
      </c>
      <c r="T71" s="34" t="n"/>
    </row>
    <row r="72">
      <c r="A72" s="34" t="n"/>
      <c r="B72" s="45" t="n"/>
      <c r="C72" s="34" t="n"/>
      <c r="D72" s="34" t="n"/>
      <c r="E72" s="47" t="n"/>
      <c r="F72" s="34" t="n"/>
      <c r="G72" s="34" t="n"/>
      <c r="H72" s="34" t="n"/>
      <c r="I72" s="36" t="n"/>
      <c r="J72" s="46">
        <f>IF(G72="","",IFERROR(INDEX(Products!$B$2:$B$101,MATCH(G72,Products!$A$2:$A$101,0)),"Unknown SKU"))</f>
        <v/>
      </c>
      <c r="K72" s="34" t="n"/>
      <c r="L72" s="34" t="n"/>
      <c r="M72" s="36" t="n"/>
      <c r="N72" s="36" t="n"/>
      <c r="O72" s="44">
        <f>IF(OR(H72="",I72=""),"",H72*I72)</f>
        <v/>
      </c>
      <c r="P72" s="44">
        <f>IF(O72="","",O72*IFERROR(INDEX(Settings!$B$8:$B$15,MATCH(C72,Settings!$A$8:$A$15,0)),0))</f>
        <v/>
      </c>
      <c r="Q72" s="44">
        <f>IF(OR(G72="",H72=""),"",H72*IFERROR(INDEX(Products!$J$2:$J$101,MATCH(G72,Products!$A$2:$A$101,0)),0))</f>
        <v/>
      </c>
      <c r="R72" s="44">
        <f>IF(K72="Delivered",N(O72)+N(M72)-N(N72)-N(P72)-N(Q72),IF(OR(K72="Returned",K72="Failed delivery"),-N(N72),""))</f>
        <v/>
      </c>
      <c r="S72">
        <f>IF(E72="","",IF(MATCH(E72,$E$2:E72,0)&lt;ROWS($E$2:E72),"Repeat","New"))</f>
        <v/>
      </c>
      <c r="T72" s="34" t="n"/>
    </row>
    <row r="73">
      <c r="A73" s="34" t="n"/>
      <c r="B73" s="45" t="n"/>
      <c r="C73" s="34" t="n"/>
      <c r="D73" s="34" t="n"/>
      <c r="E73" s="47" t="n"/>
      <c r="F73" s="34" t="n"/>
      <c r="G73" s="34" t="n"/>
      <c r="H73" s="34" t="n"/>
      <c r="I73" s="36" t="n"/>
      <c r="J73" s="46">
        <f>IF(G73="","",IFERROR(INDEX(Products!$B$2:$B$101,MATCH(G73,Products!$A$2:$A$101,0)),"Unknown SKU"))</f>
        <v/>
      </c>
      <c r="K73" s="34" t="n"/>
      <c r="L73" s="34" t="n"/>
      <c r="M73" s="36" t="n"/>
      <c r="N73" s="36" t="n"/>
      <c r="O73" s="44">
        <f>IF(OR(H73="",I73=""),"",H73*I73)</f>
        <v/>
      </c>
      <c r="P73" s="44">
        <f>IF(O73="","",O73*IFERROR(INDEX(Settings!$B$8:$B$15,MATCH(C73,Settings!$A$8:$A$15,0)),0))</f>
        <v/>
      </c>
      <c r="Q73" s="44">
        <f>IF(OR(G73="",H73=""),"",H73*IFERROR(INDEX(Products!$J$2:$J$101,MATCH(G73,Products!$A$2:$A$101,0)),0))</f>
        <v/>
      </c>
      <c r="R73" s="44">
        <f>IF(K73="Delivered",N(O73)+N(M73)-N(N73)-N(P73)-N(Q73),IF(OR(K73="Returned",K73="Failed delivery"),-N(N73),""))</f>
        <v/>
      </c>
      <c r="S73">
        <f>IF(E73="","",IF(MATCH(E73,$E$2:E73,0)&lt;ROWS($E$2:E73),"Repeat","New"))</f>
        <v/>
      </c>
      <c r="T73" s="34" t="n"/>
    </row>
    <row r="74">
      <c r="A74" s="34" t="n"/>
      <c r="B74" s="45" t="n"/>
      <c r="C74" s="34" t="n"/>
      <c r="D74" s="34" t="n"/>
      <c r="E74" s="47" t="n"/>
      <c r="F74" s="34" t="n"/>
      <c r="G74" s="34" t="n"/>
      <c r="H74" s="34" t="n"/>
      <c r="I74" s="36" t="n"/>
      <c r="J74" s="46">
        <f>IF(G74="","",IFERROR(INDEX(Products!$B$2:$B$101,MATCH(G74,Products!$A$2:$A$101,0)),"Unknown SKU"))</f>
        <v/>
      </c>
      <c r="K74" s="34" t="n"/>
      <c r="L74" s="34" t="n"/>
      <c r="M74" s="36" t="n"/>
      <c r="N74" s="36" t="n"/>
      <c r="O74" s="44">
        <f>IF(OR(H74="",I74=""),"",H74*I74)</f>
        <v/>
      </c>
      <c r="P74" s="44">
        <f>IF(O74="","",O74*IFERROR(INDEX(Settings!$B$8:$B$15,MATCH(C74,Settings!$A$8:$A$15,0)),0))</f>
        <v/>
      </c>
      <c r="Q74" s="44">
        <f>IF(OR(G74="",H74=""),"",H74*IFERROR(INDEX(Products!$J$2:$J$101,MATCH(G74,Products!$A$2:$A$101,0)),0))</f>
        <v/>
      </c>
      <c r="R74" s="44">
        <f>IF(K74="Delivered",N(O74)+N(M74)-N(N74)-N(P74)-N(Q74),IF(OR(K74="Returned",K74="Failed delivery"),-N(N74),""))</f>
        <v/>
      </c>
      <c r="S74">
        <f>IF(E74="","",IF(MATCH(E74,$E$2:E74,0)&lt;ROWS($E$2:E74),"Repeat","New"))</f>
        <v/>
      </c>
      <c r="T74" s="34" t="n"/>
    </row>
    <row r="75">
      <c r="A75" s="34" t="n"/>
      <c r="B75" s="45" t="n"/>
      <c r="C75" s="34" t="n"/>
      <c r="D75" s="34" t="n"/>
      <c r="E75" s="47" t="n"/>
      <c r="F75" s="34" t="n"/>
      <c r="G75" s="34" t="n"/>
      <c r="H75" s="34" t="n"/>
      <c r="I75" s="36" t="n"/>
      <c r="J75" s="46">
        <f>IF(G75="","",IFERROR(INDEX(Products!$B$2:$B$101,MATCH(G75,Products!$A$2:$A$101,0)),"Unknown SKU"))</f>
        <v/>
      </c>
      <c r="K75" s="34" t="n"/>
      <c r="L75" s="34" t="n"/>
      <c r="M75" s="36" t="n"/>
      <c r="N75" s="36" t="n"/>
      <c r="O75" s="44">
        <f>IF(OR(H75="",I75=""),"",H75*I75)</f>
        <v/>
      </c>
      <c r="P75" s="44">
        <f>IF(O75="","",O75*IFERROR(INDEX(Settings!$B$8:$B$15,MATCH(C75,Settings!$A$8:$A$15,0)),0))</f>
        <v/>
      </c>
      <c r="Q75" s="44">
        <f>IF(OR(G75="",H75=""),"",H75*IFERROR(INDEX(Products!$J$2:$J$101,MATCH(G75,Products!$A$2:$A$101,0)),0))</f>
        <v/>
      </c>
      <c r="R75" s="44">
        <f>IF(K75="Delivered",N(O75)+N(M75)-N(N75)-N(P75)-N(Q75),IF(OR(K75="Returned",K75="Failed delivery"),-N(N75),""))</f>
        <v/>
      </c>
      <c r="S75">
        <f>IF(E75="","",IF(MATCH(E75,$E$2:E75,0)&lt;ROWS($E$2:E75),"Repeat","New"))</f>
        <v/>
      </c>
      <c r="T75" s="34" t="n"/>
    </row>
    <row r="76">
      <c r="A76" s="34" t="n"/>
      <c r="B76" s="45" t="n"/>
      <c r="C76" s="34" t="n"/>
      <c r="D76" s="34" t="n"/>
      <c r="E76" s="47" t="n"/>
      <c r="F76" s="34" t="n"/>
      <c r="G76" s="34" t="n"/>
      <c r="H76" s="34" t="n"/>
      <c r="I76" s="36" t="n"/>
      <c r="J76" s="46">
        <f>IF(G76="","",IFERROR(INDEX(Products!$B$2:$B$101,MATCH(G76,Products!$A$2:$A$101,0)),"Unknown SKU"))</f>
        <v/>
      </c>
      <c r="K76" s="34" t="n"/>
      <c r="L76" s="34" t="n"/>
      <c r="M76" s="36" t="n"/>
      <c r="N76" s="36" t="n"/>
      <c r="O76" s="44">
        <f>IF(OR(H76="",I76=""),"",H76*I76)</f>
        <v/>
      </c>
      <c r="P76" s="44">
        <f>IF(O76="","",O76*IFERROR(INDEX(Settings!$B$8:$B$15,MATCH(C76,Settings!$A$8:$A$15,0)),0))</f>
        <v/>
      </c>
      <c r="Q76" s="44">
        <f>IF(OR(G76="",H76=""),"",H76*IFERROR(INDEX(Products!$J$2:$J$101,MATCH(G76,Products!$A$2:$A$101,0)),0))</f>
        <v/>
      </c>
      <c r="R76" s="44">
        <f>IF(K76="Delivered",N(O76)+N(M76)-N(N76)-N(P76)-N(Q76),IF(OR(K76="Returned",K76="Failed delivery"),-N(N76),""))</f>
        <v/>
      </c>
      <c r="S76">
        <f>IF(E76="","",IF(MATCH(E76,$E$2:E76,0)&lt;ROWS($E$2:E76),"Repeat","New"))</f>
        <v/>
      </c>
      <c r="T76" s="34" t="n"/>
    </row>
    <row r="77">
      <c r="A77" s="34" t="n"/>
      <c r="B77" s="45" t="n"/>
      <c r="C77" s="34" t="n"/>
      <c r="D77" s="34" t="n"/>
      <c r="E77" s="47" t="n"/>
      <c r="F77" s="34" t="n"/>
      <c r="G77" s="34" t="n"/>
      <c r="H77" s="34" t="n"/>
      <c r="I77" s="36" t="n"/>
      <c r="J77" s="46">
        <f>IF(G77="","",IFERROR(INDEX(Products!$B$2:$B$101,MATCH(G77,Products!$A$2:$A$101,0)),"Unknown SKU"))</f>
        <v/>
      </c>
      <c r="K77" s="34" t="n"/>
      <c r="L77" s="34" t="n"/>
      <c r="M77" s="36" t="n"/>
      <c r="N77" s="36" t="n"/>
      <c r="O77" s="44">
        <f>IF(OR(H77="",I77=""),"",H77*I77)</f>
        <v/>
      </c>
      <c r="P77" s="44">
        <f>IF(O77="","",O77*IFERROR(INDEX(Settings!$B$8:$B$15,MATCH(C77,Settings!$A$8:$A$15,0)),0))</f>
        <v/>
      </c>
      <c r="Q77" s="44">
        <f>IF(OR(G77="",H77=""),"",H77*IFERROR(INDEX(Products!$J$2:$J$101,MATCH(G77,Products!$A$2:$A$101,0)),0))</f>
        <v/>
      </c>
      <c r="R77" s="44">
        <f>IF(K77="Delivered",N(O77)+N(M77)-N(N77)-N(P77)-N(Q77),IF(OR(K77="Returned",K77="Failed delivery"),-N(N77),""))</f>
        <v/>
      </c>
      <c r="S77">
        <f>IF(E77="","",IF(MATCH(E77,$E$2:E77,0)&lt;ROWS($E$2:E77),"Repeat","New"))</f>
        <v/>
      </c>
      <c r="T77" s="34" t="n"/>
    </row>
    <row r="78">
      <c r="A78" s="34" t="n"/>
      <c r="B78" s="45" t="n"/>
      <c r="C78" s="34" t="n"/>
      <c r="D78" s="34" t="n"/>
      <c r="E78" s="47" t="n"/>
      <c r="F78" s="34" t="n"/>
      <c r="G78" s="34" t="n"/>
      <c r="H78" s="34" t="n"/>
      <c r="I78" s="36" t="n"/>
      <c r="J78" s="46">
        <f>IF(G78="","",IFERROR(INDEX(Products!$B$2:$B$101,MATCH(G78,Products!$A$2:$A$101,0)),"Unknown SKU"))</f>
        <v/>
      </c>
      <c r="K78" s="34" t="n"/>
      <c r="L78" s="34" t="n"/>
      <c r="M78" s="36" t="n"/>
      <c r="N78" s="36" t="n"/>
      <c r="O78" s="44">
        <f>IF(OR(H78="",I78=""),"",H78*I78)</f>
        <v/>
      </c>
      <c r="P78" s="44">
        <f>IF(O78="","",O78*IFERROR(INDEX(Settings!$B$8:$B$15,MATCH(C78,Settings!$A$8:$A$15,0)),0))</f>
        <v/>
      </c>
      <c r="Q78" s="44">
        <f>IF(OR(G78="",H78=""),"",H78*IFERROR(INDEX(Products!$J$2:$J$101,MATCH(G78,Products!$A$2:$A$101,0)),0))</f>
        <v/>
      </c>
      <c r="R78" s="44">
        <f>IF(K78="Delivered",N(O78)+N(M78)-N(N78)-N(P78)-N(Q78),IF(OR(K78="Returned",K78="Failed delivery"),-N(N78),""))</f>
        <v/>
      </c>
      <c r="S78">
        <f>IF(E78="","",IF(MATCH(E78,$E$2:E78,0)&lt;ROWS($E$2:E78),"Repeat","New"))</f>
        <v/>
      </c>
      <c r="T78" s="34" t="n"/>
    </row>
    <row r="79">
      <c r="A79" s="34" t="n"/>
      <c r="B79" s="45" t="n"/>
      <c r="C79" s="34" t="n"/>
      <c r="D79" s="34" t="n"/>
      <c r="E79" s="47" t="n"/>
      <c r="F79" s="34" t="n"/>
      <c r="G79" s="34" t="n"/>
      <c r="H79" s="34" t="n"/>
      <c r="I79" s="36" t="n"/>
      <c r="J79" s="46">
        <f>IF(G79="","",IFERROR(INDEX(Products!$B$2:$B$101,MATCH(G79,Products!$A$2:$A$101,0)),"Unknown SKU"))</f>
        <v/>
      </c>
      <c r="K79" s="34" t="n"/>
      <c r="L79" s="34" t="n"/>
      <c r="M79" s="36" t="n"/>
      <c r="N79" s="36" t="n"/>
      <c r="O79" s="44">
        <f>IF(OR(H79="",I79=""),"",H79*I79)</f>
        <v/>
      </c>
      <c r="P79" s="44">
        <f>IF(O79="","",O79*IFERROR(INDEX(Settings!$B$8:$B$15,MATCH(C79,Settings!$A$8:$A$15,0)),0))</f>
        <v/>
      </c>
      <c r="Q79" s="44">
        <f>IF(OR(G79="",H79=""),"",H79*IFERROR(INDEX(Products!$J$2:$J$101,MATCH(G79,Products!$A$2:$A$101,0)),0))</f>
        <v/>
      </c>
      <c r="R79" s="44">
        <f>IF(K79="Delivered",N(O79)+N(M79)-N(N79)-N(P79)-N(Q79),IF(OR(K79="Returned",K79="Failed delivery"),-N(N79),""))</f>
        <v/>
      </c>
      <c r="S79">
        <f>IF(E79="","",IF(MATCH(E79,$E$2:E79,0)&lt;ROWS($E$2:E79),"Repeat","New"))</f>
        <v/>
      </c>
      <c r="T79" s="34" t="n"/>
    </row>
    <row r="80">
      <c r="A80" s="34" t="n"/>
      <c r="B80" s="45" t="n"/>
      <c r="C80" s="34" t="n"/>
      <c r="D80" s="34" t="n"/>
      <c r="E80" s="47" t="n"/>
      <c r="F80" s="34" t="n"/>
      <c r="G80" s="34" t="n"/>
      <c r="H80" s="34" t="n"/>
      <c r="I80" s="36" t="n"/>
      <c r="J80" s="46">
        <f>IF(G80="","",IFERROR(INDEX(Products!$B$2:$B$101,MATCH(G80,Products!$A$2:$A$101,0)),"Unknown SKU"))</f>
        <v/>
      </c>
      <c r="K80" s="34" t="n"/>
      <c r="L80" s="34" t="n"/>
      <c r="M80" s="36" t="n"/>
      <c r="N80" s="36" t="n"/>
      <c r="O80" s="44">
        <f>IF(OR(H80="",I80=""),"",H80*I80)</f>
        <v/>
      </c>
      <c r="P80" s="44">
        <f>IF(O80="","",O80*IFERROR(INDEX(Settings!$B$8:$B$15,MATCH(C80,Settings!$A$8:$A$15,0)),0))</f>
        <v/>
      </c>
      <c r="Q80" s="44">
        <f>IF(OR(G80="",H80=""),"",H80*IFERROR(INDEX(Products!$J$2:$J$101,MATCH(G80,Products!$A$2:$A$101,0)),0))</f>
        <v/>
      </c>
      <c r="R80" s="44">
        <f>IF(K80="Delivered",N(O80)+N(M80)-N(N80)-N(P80)-N(Q80),IF(OR(K80="Returned",K80="Failed delivery"),-N(N80),""))</f>
        <v/>
      </c>
      <c r="S80">
        <f>IF(E80="","",IF(MATCH(E80,$E$2:E80,0)&lt;ROWS($E$2:E80),"Repeat","New"))</f>
        <v/>
      </c>
      <c r="T80" s="34" t="n"/>
    </row>
    <row r="81">
      <c r="A81" s="34" t="n"/>
      <c r="B81" s="45" t="n"/>
      <c r="C81" s="34" t="n"/>
      <c r="D81" s="34" t="n"/>
      <c r="E81" s="47" t="n"/>
      <c r="F81" s="34" t="n"/>
      <c r="G81" s="34" t="n"/>
      <c r="H81" s="34" t="n"/>
      <c r="I81" s="36" t="n"/>
      <c r="J81" s="46">
        <f>IF(G81="","",IFERROR(INDEX(Products!$B$2:$B$101,MATCH(G81,Products!$A$2:$A$101,0)),"Unknown SKU"))</f>
        <v/>
      </c>
      <c r="K81" s="34" t="n"/>
      <c r="L81" s="34" t="n"/>
      <c r="M81" s="36" t="n"/>
      <c r="N81" s="36" t="n"/>
      <c r="O81" s="44">
        <f>IF(OR(H81="",I81=""),"",H81*I81)</f>
        <v/>
      </c>
      <c r="P81" s="44">
        <f>IF(O81="","",O81*IFERROR(INDEX(Settings!$B$8:$B$15,MATCH(C81,Settings!$A$8:$A$15,0)),0))</f>
        <v/>
      </c>
      <c r="Q81" s="44">
        <f>IF(OR(G81="",H81=""),"",H81*IFERROR(INDEX(Products!$J$2:$J$101,MATCH(G81,Products!$A$2:$A$101,0)),0))</f>
        <v/>
      </c>
      <c r="R81" s="44">
        <f>IF(K81="Delivered",N(O81)+N(M81)-N(N81)-N(P81)-N(Q81),IF(OR(K81="Returned",K81="Failed delivery"),-N(N81),""))</f>
        <v/>
      </c>
      <c r="S81">
        <f>IF(E81="","",IF(MATCH(E81,$E$2:E81,0)&lt;ROWS($E$2:E81),"Repeat","New"))</f>
        <v/>
      </c>
      <c r="T81" s="34" t="n"/>
    </row>
    <row r="82">
      <c r="A82" s="34" t="n"/>
      <c r="B82" s="45" t="n"/>
      <c r="C82" s="34" t="n"/>
      <c r="D82" s="34" t="n"/>
      <c r="E82" s="47" t="n"/>
      <c r="F82" s="34" t="n"/>
      <c r="G82" s="34" t="n"/>
      <c r="H82" s="34" t="n"/>
      <c r="I82" s="36" t="n"/>
      <c r="J82" s="46">
        <f>IF(G82="","",IFERROR(INDEX(Products!$B$2:$B$101,MATCH(G82,Products!$A$2:$A$101,0)),"Unknown SKU"))</f>
        <v/>
      </c>
      <c r="K82" s="34" t="n"/>
      <c r="L82" s="34" t="n"/>
      <c r="M82" s="36" t="n"/>
      <c r="N82" s="36" t="n"/>
      <c r="O82" s="44">
        <f>IF(OR(H82="",I82=""),"",H82*I82)</f>
        <v/>
      </c>
      <c r="P82" s="44">
        <f>IF(O82="","",O82*IFERROR(INDEX(Settings!$B$8:$B$15,MATCH(C82,Settings!$A$8:$A$15,0)),0))</f>
        <v/>
      </c>
      <c r="Q82" s="44">
        <f>IF(OR(G82="",H82=""),"",H82*IFERROR(INDEX(Products!$J$2:$J$101,MATCH(G82,Products!$A$2:$A$101,0)),0))</f>
        <v/>
      </c>
      <c r="R82" s="44">
        <f>IF(K82="Delivered",N(O82)+N(M82)-N(N82)-N(P82)-N(Q82),IF(OR(K82="Returned",K82="Failed delivery"),-N(N82),""))</f>
        <v/>
      </c>
      <c r="S82">
        <f>IF(E82="","",IF(MATCH(E82,$E$2:E82,0)&lt;ROWS($E$2:E82),"Repeat","New"))</f>
        <v/>
      </c>
      <c r="T82" s="34" t="n"/>
    </row>
    <row r="83">
      <c r="A83" s="34" t="n"/>
      <c r="B83" s="45" t="n"/>
      <c r="C83" s="34" t="n"/>
      <c r="D83" s="34" t="n"/>
      <c r="E83" s="47" t="n"/>
      <c r="F83" s="34" t="n"/>
      <c r="G83" s="34" t="n"/>
      <c r="H83" s="34" t="n"/>
      <c r="I83" s="36" t="n"/>
      <c r="J83" s="46">
        <f>IF(G83="","",IFERROR(INDEX(Products!$B$2:$B$101,MATCH(G83,Products!$A$2:$A$101,0)),"Unknown SKU"))</f>
        <v/>
      </c>
      <c r="K83" s="34" t="n"/>
      <c r="L83" s="34" t="n"/>
      <c r="M83" s="36" t="n"/>
      <c r="N83" s="36" t="n"/>
      <c r="O83" s="44">
        <f>IF(OR(H83="",I83=""),"",H83*I83)</f>
        <v/>
      </c>
      <c r="P83" s="44">
        <f>IF(O83="","",O83*IFERROR(INDEX(Settings!$B$8:$B$15,MATCH(C83,Settings!$A$8:$A$15,0)),0))</f>
        <v/>
      </c>
      <c r="Q83" s="44">
        <f>IF(OR(G83="",H83=""),"",H83*IFERROR(INDEX(Products!$J$2:$J$101,MATCH(G83,Products!$A$2:$A$101,0)),0))</f>
        <v/>
      </c>
      <c r="R83" s="44">
        <f>IF(K83="Delivered",N(O83)+N(M83)-N(N83)-N(P83)-N(Q83),IF(OR(K83="Returned",K83="Failed delivery"),-N(N83),""))</f>
        <v/>
      </c>
      <c r="S83">
        <f>IF(E83="","",IF(MATCH(E83,$E$2:E83,0)&lt;ROWS($E$2:E83),"Repeat","New"))</f>
        <v/>
      </c>
      <c r="T83" s="34" t="n"/>
    </row>
    <row r="84">
      <c r="A84" s="34" t="n"/>
      <c r="B84" s="45" t="n"/>
      <c r="C84" s="34" t="n"/>
      <c r="D84" s="34" t="n"/>
      <c r="E84" s="47" t="n"/>
      <c r="F84" s="34" t="n"/>
      <c r="G84" s="34" t="n"/>
      <c r="H84" s="34" t="n"/>
      <c r="I84" s="36" t="n"/>
      <c r="J84" s="46">
        <f>IF(G84="","",IFERROR(INDEX(Products!$B$2:$B$101,MATCH(G84,Products!$A$2:$A$101,0)),"Unknown SKU"))</f>
        <v/>
      </c>
      <c r="K84" s="34" t="n"/>
      <c r="L84" s="34" t="n"/>
      <c r="M84" s="36" t="n"/>
      <c r="N84" s="36" t="n"/>
      <c r="O84" s="44">
        <f>IF(OR(H84="",I84=""),"",H84*I84)</f>
        <v/>
      </c>
      <c r="P84" s="44">
        <f>IF(O84="","",O84*IFERROR(INDEX(Settings!$B$8:$B$15,MATCH(C84,Settings!$A$8:$A$15,0)),0))</f>
        <v/>
      </c>
      <c r="Q84" s="44">
        <f>IF(OR(G84="",H84=""),"",H84*IFERROR(INDEX(Products!$J$2:$J$101,MATCH(G84,Products!$A$2:$A$101,0)),0))</f>
        <v/>
      </c>
      <c r="R84" s="44">
        <f>IF(K84="Delivered",N(O84)+N(M84)-N(N84)-N(P84)-N(Q84),IF(OR(K84="Returned",K84="Failed delivery"),-N(N84),""))</f>
        <v/>
      </c>
      <c r="S84">
        <f>IF(E84="","",IF(MATCH(E84,$E$2:E84,0)&lt;ROWS($E$2:E84),"Repeat","New"))</f>
        <v/>
      </c>
      <c r="T84" s="34" t="n"/>
    </row>
    <row r="85">
      <c r="A85" s="34" t="n"/>
      <c r="B85" s="45" t="n"/>
      <c r="C85" s="34" t="n"/>
      <c r="D85" s="34" t="n"/>
      <c r="E85" s="47" t="n"/>
      <c r="F85" s="34" t="n"/>
      <c r="G85" s="34" t="n"/>
      <c r="H85" s="34" t="n"/>
      <c r="I85" s="36" t="n"/>
      <c r="J85" s="46">
        <f>IF(G85="","",IFERROR(INDEX(Products!$B$2:$B$101,MATCH(G85,Products!$A$2:$A$101,0)),"Unknown SKU"))</f>
        <v/>
      </c>
      <c r="K85" s="34" t="n"/>
      <c r="L85" s="34" t="n"/>
      <c r="M85" s="36" t="n"/>
      <c r="N85" s="36" t="n"/>
      <c r="O85" s="44">
        <f>IF(OR(H85="",I85=""),"",H85*I85)</f>
        <v/>
      </c>
      <c r="P85" s="44">
        <f>IF(O85="","",O85*IFERROR(INDEX(Settings!$B$8:$B$15,MATCH(C85,Settings!$A$8:$A$15,0)),0))</f>
        <v/>
      </c>
      <c r="Q85" s="44">
        <f>IF(OR(G85="",H85=""),"",H85*IFERROR(INDEX(Products!$J$2:$J$101,MATCH(G85,Products!$A$2:$A$101,0)),0))</f>
        <v/>
      </c>
      <c r="R85" s="44">
        <f>IF(K85="Delivered",N(O85)+N(M85)-N(N85)-N(P85)-N(Q85),IF(OR(K85="Returned",K85="Failed delivery"),-N(N85),""))</f>
        <v/>
      </c>
      <c r="S85">
        <f>IF(E85="","",IF(MATCH(E85,$E$2:E85,0)&lt;ROWS($E$2:E85),"Repeat","New"))</f>
        <v/>
      </c>
      <c r="T85" s="34" t="n"/>
    </row>
    <row r="86">
      <c r="A86" s="34" t="n"/>
      <c r="B86" s="45" t="n"/>
      <c r="C86" s="34" t="n"/>
      <c r="D86" s="34" t="n"/>
      <c r="E86" s="47" t="n"/>
      <c r="F86" s="34" t="n"/>
      <c r="G86" s="34" t="n"/>
      <c r="H86" s="34" t="n"/>
      <c r="I86" s="36" t="n"/>
      <c r="J86" s="46">
        <f>IF(G86="","",IFERROR(INDEX(Products!$B$2:$B$101,MATCH(G86,Products!$A$2:$A$101,0)),"Unknown SKU"))</f>
        <v/>
      </c>
      <c r="K86" s="34" t="n"/>
      <c r="L86" s="34" t="n"/>
      <c r="M86" s="36" t="n"/>
      <c r="N86" s="36" t="n"/>
      <c r="O86" s="44">
        <f>IF(OR(H86="",I86=""),"",H86*I86)</f>
        <v/>
      </c>
      <c r="P86" s="44">
        <f>IF(O86="","",O86*IFERROR(INDEX(Settings!$B$8:$B$15,MATCH(C86,Settings!$A$8:$A$15,0)),0))</f>
        <v/>
      </c>
      <c r="Q86" s="44">
        <f>IF(OR(G86="",H86=""),"",H86*IFERROR(INDEX(Products!$J$2:$J$101,MATCH(G86,Products!$A$2:$A$101,0)),0))</f>
        <v/>
      </c>
      <c r="R86" s="44">
        <f>IF(K86="Delivered",N(O86)+N(M86)-N(N86)-N(P86)-N(Q86),IF(OR(K86="Returned",K86="Failed delivery"),-N(N86),""))</f>
        <v/>
      </c>
      <c r="S86">
        <f>IF(E86="","",IF(MATCH(E86,$E$2:E86,0)&lt;ROWS($E$2:E86),"Repeat","New"))</f>
        <v/>
      </c>
      <c r="T86" s="34" t="n"/>
    </row>
    <row r="87">
      <c r="A87" s="34" t="n"/>
      <c r="B87" s="45" t="n"/>
      <c r="C87" s="34" t="n"/>
      <c r="D87" s="34" t="n"/>
      <c r="E87" s="47" t="n"/>
      <c r="F87" s="34" t="n"/>
      <c r="G87" s="34" t="n"/>
      <c r="H87" s="34" t="n"/>
      <c r="I87" s="36" t="n"/>
      <c r="J87" s="46">
        <f>IF(G87="","",IFERROR(INDEX(Products!$B$2:$B$101,MATCH(G87,Products!$A$2:$A$101,0)),"Unknown SKU"))</f>
        <v/>
      </c>
      <c r="K87" s="34" t="n"/>
      <c r="L87" s="34" t="n"/>
      <c r="M87" s="36" t="n"/>
      <c r="N87" s="36" t="n"/>
      <c r="O87" s="44">
        <f>IF(OR(H87="",I87=""),"",H87*I87)</f>
        <v/>
      </c>
      <c r="P87" s="44">
        <f>IF(O87="","",O87*IFERROR(INDEX(Settings!$B$8:$B$15,MATCH(C87,Settings!$A$8:$A$15,0)),0))</f>
        <v/>
      </c>
      <c r="Q87" s="44">
        <f>IF(OR(G87="",H87=""),"",H87*IFERROR(INDEX(Products!$J$2:$J$101,MATCH(G87,Products!$A$2:$A$101,0)),0))</f>
        <v/>
      </c>
      <c r="R87" s="44">
        <f>IF(K87="Delivered",N(O87)+N(M87)-N(N87)-N(P87)-N(Q87),IF(OR(K87="Returned",K87="Failed delivery"),-N(N87),""))</f>
        <v/>
      </c>
      <c r="S87">
        <f>IF(E87="","",IF(MATCH(E87,$E$2:E87,0)&lt;ROWS($E$2:E87),"Repeat","New"))</f>
        <v/>
      </c>
      <c r="T87" s="34" t="n"/>
    </row>
    <row r="88">
      <c r="A88" s="34" t="n"/>
      <c r="B88" s="45" t="n"/>
      <c r="C88" s="34" t="n"/>
      <c r="D88" s="34" t="n"/>
      <c r="E88" s="47" t="n"/>
      <c r="F88" s="34" t="n"/>
      <c r="G88" s="34" t="n"/>
      <c r="H88" s="34" t="n"/>
      <c r="I88" s="36" t="n"/>
      <c r="J88" s="46">
        <f>IF(G88="","",IFERROR(INDEX(Products!$B$2:$B$101,MATCH(G88,Products!$A$2:$A$101,0)),"Unknown SKU"))</f>
        <v/>
      </c>
      <c r="K88" s="34" t="n"/>
      <c r="L88" s="34" t="n"/>
      <c r="M88" s="36" t="n"/>
      <c r="N88" s="36" t="n"/>
      <c r="O88" s="44">
        <f>IF(OR(H88="",I88=""),"",H88*I88)</f>
        <v/>
      </c>
      <c r="P88" s="44">
        <f>IF(O88="","",O88*IFERROR(INDEX(Settings!$B$8:$B$15,MATCH(C88,Settings!$A$8:$A$15,0)),0))</f>
        <v/>
      </c>
      <c r="Q88" s="44">
        <f>IF(OR(G88="",H88=""),"",H88*IFERROR(INDEX(Products!$J$2:$J$101,MATCH(G88,Products!$A$2:$A$101,0)),0))</f>
        <v/>
      </c>
      <c r="R88" s="44">
        <f>IF(K88="Delivered",N(O88)+N(M88)-N(N88)-N(P88)-N(Q88),IF(OR(K88="Returned",K88="Failed delivery"),-N(N88),""))</f>
        <v/>
      </c>
      <c r="S88">
        <f>IF(E88="","",IF(MATCH(E88,$E$2:E88,0)&lt;ROWS($E$2:E88),"Repeat","New"))</f>
        <v/>
      </c>
      <c r="T88" s="34" t="n"/>
    </row>
    <row r="89">
      <c r="A89" s="34" t="n"/>
      <c r="B89" s="45" t="n"/>
      <c r="C89" s="34" t="n"/>
      <c r="D89" s="34" t="n"/>
      <c r="E89" s="47" t="n"/>
      <c r="F89" s="34" t="n"/>
      <c r="G89" s="34" t="n"/>
      <c r="H89" s="34" t="n"/>
      <c r="I89" s="36" t="n"/>
      <c r="J89" s="46">
        <f>IF(G89="","",IFERROR(INDEX(Products!$B$2:$B$101,MATCH(G89,Products!$A$2:$A$101,0)),"Unknown SKU"))</f>
        <v/>
      </c>
      <c r="K89" s="34" t="n"/>
      <c r="L89" s="34" t="n"/>
      <c r="M89" s="36" t="n"/>
      <c r="N89" s="36" t="n"/>
      <c r="O89" s="44">
        <f>IF(OR(H89="",I89=""),"",H89*I89)</f>
        <v/>
      </c>
      <c r="P89" s="44">
        <f>IF(O89="","",O89*IFERROR(INDEX(Settings!$B$8:$B$15,MATCH(C89,Settings!$A$8:$A$15,0)),0))</f>
        <v/>
      </c>
      <c r="Q89" s="44">
        <f>IF(OR(G89="",H89=""),"",H89*IFERROR(INDEX(Products!$J$2:$J$101,MATCH(G89,Products!$A$2:$A$101,0)),0))</f>
        <v/>
      </c>
      <c r="R89" s="44">
        <f>IF(K89="Delivered",N(O89)+N(M89)-N(N89)-N(P89)-N(Q89),IF(OR(K89="Returned",K89="Failed delivery"),-N(N89),""))</f>
        <v/>
      </c>
      <c r="S89">
        <f>IF(E89="","",IF(MATCH(E89,$E$2:E89,0)&lt;ROWS($E$2:E89),"Repeat","New"))</f>
        <v/>
      </c>
      <c r="T89" s="34" t="n"/>
    </row>
    <row r="90">
      <c r="A90" s="34" t="n"/>
      <c r="B90" s="45" t="n"/>
      <c r="C90" s="34" t="n"/>
      <c r="D90" s="34" t="n"/>
      <c r="E90" s="47" t="n"/>
      <c r="F90" s="34" t="n"/>
      <c r="G90" s="34" t="n"/>
      <c r="H90" s="34" t="n"/>
      <c r="I90" s="36" t="n"/>
      <c r="J90" s="46">
        <f>IF(G90="","",IFERROR(INDEX(Products!$B$2:$B$101,MATCH(G90,Products!$A$2:$A$101,0)),"Unknown SKU"))</f>
        <v/>
      </c>
      <c r="K90" s="34" t="n"/>
      <c r="L90" s="34" t="n"/>
      <c r="M90" s="36" t="n"/>
      <c r="N90" s="36" t="n"/>
      <c r="O90" s="44">
        <f>IF(OR(H90="",I90=""),"",H90*I90)</f>
        <v/>
      </c>
      <c r="P90" s="44">
        <f>IF(O90="","",O90*IFERROR(INDEX(Settings!$B$8:$B$15,MATCH(C90,Settings!$A$8:$A$15,0)),0))</f>
        <v/>
      </c>
      <c r="Q90" s="44">
        <f>IF(OR(G90="",H90=""),"",H90*IFERROR(INDEX(Products!$J$2:$J$101,MATCH(G90,Products!$A$2:$A$101,0)),0))</f>
        <v/>
      </c>
      <c r="R90" s="44">
        <f>IF(K90="Delivered",N(O90)+N(M90)-N(N90)-N(P90)-N(Q90),IF(OR(K90="Returned",K90="Failed delivery"),-N(N90),""))</f>
        <v/>
      </c>
      <c r="S90">
        <f>IF(E90="","",IF(MATCH(E90,$E$2:E90,0)&lt;ROWS($E$2:E90),"Repeat","New"))</f>
        <v/>
      </c>
      <c r="T90" s="34" t="n"/>
    </row>
    <row r="91">
      <c r="A91" s="34" t="n"/>
      <c r="B91" s="45" t="n"/>
      <c r="C91" s="34" t="n"/>
      <c r="D91" s="34" t="n"/>
      <c r="E91" s="47" t="n"/>
      <c r="F91" s="34" t="n"/>
      <c r="G91" s="34" t="n"/>
      <c r="H91" s="34" t="n"/>
      <c r="I91" s="36" t="n"/>
      <c r="J91" s="46">
        <f>IF(G91="","",IFERROR(INDEX(Products!$B$2:$B$101,MATCH(G91,Products!$A$2:$A$101,0)),"Unknown SKU"))</f>
        <v/>
      </c>
      <c r="K91" s="34" t="n"/>
      <c r="L91" s="34" t="n"/>
      <c r="M91" s="36" t="n"/>
      <c r="N91" s="36" t="n"/>
      <c r="O91" s="44">
        <f>IF(OR(H91="",I91=""),"",H91*I91)</f>
        <v/>
      </c>
      <c r="P91" s="44">
        <f>IF(O91="","",O91*IFERROR(INDEX(Settings!$B$8:$B$15,MATCH(C91,Settings!$A$8:$A$15,0)),0))</f>
        <v/>
      </c>
      <c r="Q91" s="44">
        <f>IF(OR(G91="",H91=""),"",H91*IFERROR(INDEX(Products!$J$2:$J$101,MATCH(G91,Products!$A$2:$A$101,0)),0))</f>
        <v/>
      </c>
      <c r="R91" s="44">
        <f>IF(K91="Delivered",N(O91)+N(M91)-N(N91)-N(P91)-N(Q91),IF(OR(K91="Returned",K91="Failed delivery"),-N(N91),""))</f>
        <v/>
      </c>
      <c r="S91">
        <f>IF(E91="","",IF(MATCH(E91,$E$2:E91,0)&lt;ROWS($E$2:E91),"Repeat","New"))</f>
        <v/>
      </c>
      <c r="T91" s="34" t="n"/>
    </row>
    <row r="92">
      <c r="A92" s="34" t="n"/>
      <c r="B92" s="45" t="n"/>
      <c r="C92" s="34" t="n"/>
      <c r="D92" s="34" t="n"/>
      <c r="E92" s="47" t="n"/>
      <c r="F92" s="34" t="n"/>
      <c r="G92" s="34" t="n"/>
      <c r="H92" s="34" t="n"/>
      <c r="I92" s="36" t="n"/>
      <c r="J92" s="46">
        <f>IF(G92="","",IFERROR(INDEX(Products!$B$2:$B$101,MATCH(G92,Products!$A$2:$A$101,0)),"Unknown SKU"))</f>
        <v/>
      </c>
      <c r="K92" s="34" t="n"/>
      <c r="L92" s="34" t="n"/>
      <c r="M92" s="36" t="n"/>
      <c r="N92" s="36" t="n"/>
      <c r="O92" s="44">
        <f>IF(OR(H92="",I92=""),"",H92*I92)</f>
        <v/>
      </c>
      <c r="P92" s="44">
        <f>IF(O92="","",O92*IFERROR(INDEX(Settings!$B$8:$B$15,MATCH(C92,Settings!$A$8:$A$15,0)),0))</f>
        <v/>
      </c>
      <c r="Q92" s="44">
        <f>IF(OR(G92="",H92=""),"",H92*IFERROR(INDEX(Products!$J$2:$J$101,MATCH(G92,Products!$A$2:$A$101,0)),0))</f>
        <v/>
      </c>
      <c r="R92" s="44">
        <f>IF(K92="Delivered",N(O92)+N(M92)-N(N92)-N(P92)-N(Q92),IF(OR(K92="Returned",K92="Failed delivery"),-N(N92),""))</f>
        <v/>
      </c>
      <c r="S92">
        <f>IF(E92="","",IF(MATCH(E92,$E$2:E92,0)&lt;ROWS($E$2:E92),"Repeat","New"))</f>
        <v/>
      </c>
      <c r="T92" s="34" t="n"/>
    </row>
    <row r="93">
      <c r="A93" s="34" t="n"/>
      <c r="B93" s="45" t="n"/>
      <c r="C93" s="34" t="n"/>
      <c r="D93" s="34" t="n"/>
      <c r="E93" s="47" t="n"/>
      <c r="F93" s="34" t="n"/>
      <c r="G93" s="34" t="n"/>
      <c r="H93" s="34" t="n"/>
      <c r="I93" s="36" t="n"/>
      <c r="J93" s="46">
        <f>IF(G93="","",IFERROR(INDEX(Products!$B$2:$B$101,MATCH(G93,Products!$A$2:$A$101,0)),"Unknown SKU"))</f>
        <v/>
      </c>
      <c r="K93" s="34" t="n"/>
      <c r="L93" s="34" t="n"/>
      <c r="M93" s="36" t="n"/>
      <c r="N93" s="36" t="n"/>
      <c r="O93" s="44">
        <f>IF(OR(H93="",I93=""),"",H93*I93)</f>
        <v/>
      </c>
      <c r="P93" s="44">
        <f>IF(O93="","",O93*IFERROR(INDEX(Settings!$B$8:$B$15,MATCH(C93,Settings!$A$8:$A$15,0)),0))</f>
        <v/>
      </c>
      <c r="Q93" s="44">
        <f>IF(OR(G93="",H93=""),"",H93*IFERROR(INDEX(Products!$J$2:$J$101,MATCH(G93,Products!$A$2:$A$101,0)),0))</f>
        <v/>
      </c>
      <c r="R93" s="44">
        <f>IF(K93="Delivered",N(O93)+N(M93)-N(N93)-N(P93)-N(Q93),IF(OR(K93="Returned",K93="Failed delivery"),-N(N93),""))</f>
        <v/>
      </c>
      <c r="S93">
        <f>IF(E93="","",IF(MATCH(E93,$E$2:E93,0)&lt;ROWS($E$2:E93),"Repeat","New"))</f>
        <v/>
      </c>
      <c r="T93" s="34" t="n"/>
    </row>
    <row r="94">
      <c r="A94" s="34" t="n"/>
      <c r="B94" s="45" t="n"/>
      <c r="C94" s="34" t="n"/>
      <c r="D94" s="34" t="n"/>
      <c r="E94" s="47" t="n"/>
      <c r="F94" s="34" t="n"/>
      <c r="G94" s="34" t="n"/>
      <c r="H94" s="34" t="n"/>
      <c r="I94" s="36" t="n"/>
      <c r="J94" s="46">
        <f>IF(G94="","",IFERROR(INDEX(Products!$B$2:$B$101,MATCH(G94,Products!$A$2:$A$101,0)),"Unknown SKU"))</f>
        <v/>
      </c>
      <c r="K94" s="34" t="n"/>
      <c r="L94" s="34" t="n"/>
      <c r="M94" s="36" t="n"/>
      <c r="N94" s="36" t="n"/>
      <c r="O94" s="44">
        <f>IF(OR(H94="",I94=""),"",H94*I94)</f>
        <v/>
      </c>
      <c r="P94" s="44">
        <f>IF(O94="","",O94*IFERROR(INDEX(Settings!$B$8:$B$15,MATCH(C94,Settings!$A$8:$A$15,0)),0))</f>
        <v/>
      </c>
      <c r="Q94" s="44">
        <f>IF(OR(G94="",H94=""),"",H94*IFERROR(INDEX(Products!$J$2:$J$101,MATCH(G94,Products!$A$2:$A$101,0)),0))</f>
        <v/>
      </c>
      <c r="R94" s="44">
        <f>IF(K94="Delivered",N(O94)+N(M94)-N(N94)-N(P94)-N(Q94),IF(OR(K94="Returned",K94="Failed delivery"),-N(N94),""))</f>
        <v/>
      </c>
      <c r="S94">
        <f>IF(E94="","",IF(MATCH(E94,$E$2:E94,0)&lt;ROWS($E$2:E94),"Repeat","New"))</f>
        <v/>
      </c>
      <c r="T94" s="34" t="n"/>
    </row>
    <row r="95">
      <c r="A95" s="34" t="n"/>
      <c r="B95" s="45" t="n"/>
      <c r="C95" s="34" t="n"/>
      <c r="D95" s="34" t="n"/>
      <c r="E95" s="47" t="n"/>
      <c r="F95" s="34" t="n"/>
      <c r="G95" s="34" t="n"/>
      <c r="H95" s="34" t="n"/>
      <c r="I95" s="36" t="n"/>
      <c r="J95" s="46">
        <f>IF(G95="","",IFERROR(INDEX(Products!$B$2:$B$101,MATCH(G95,Products!$A$2:$A$101,0)),"Unknown SKU"))</f>
        <v/>
      </c>
      <c r="K95" s="34" t="n"/>
      <c r="L95" s="34" t="n"/>
      <c r="M95" s="36" t="n"/>
      <c r="N95" s="36" t="n"/>
      <c r="O95" s="44">
        <f>IF(OR(H95="",I95=""),"",H95*I95)</f>
        <v/>
      </c>
      <c r="P95" s="44">
        <f>IF(O95="","",O95*IFERROR(INDEX(Settings!$B$8:$B$15,MATCH(C95,Settings!$A$8:$A$15,0)),0))</f>
        <v/>
      </c>
      <c r="Q95" s="44">
        <f>IF(OR(G95="",H95=""),"",H95*IFERROR(INDEX(Products!$J$2:$J$101,MATCH(G95,Products!$A$2:$A$101,0)),0))</f>
        <v/>
      </c>
      <c r="R95" s="44">
        <f>IF(K95="Delivered",N(O95)+N(M95)-N(N95)-N(P95)-N(Q95),IF(OR(K95="Returned",K95="Failed delivery"),-N(N95),""))</f>
        <v/>
      </c>
      <c r="S95">
        <f>IF(E95="","",IF(MATCH(E95,$E$2:E95,0)&lt;ROWS($E$2:E95),"Repeat","New"))</f>
        <v/>
      </c>
      <c r="T95" s="34" t="n"/>
    </row>
    <row r="96">
      <c r="A96" s="34" t="n"/>
      <c r="B96" s="45" t="n"/>
      <c r="C96" s="34" t="n"/>
      <c r="D96" s="34" t="n"/>
      <c r="E96" s="47" t="n"/>
      <c r="F96" s="34" t="n"/>
      <c r="G96" s="34" t="n"/>
      <c r="H96" s="34" t="n"/>
      <c r="I96" s="36" t="n"/>
      <c r="J96" s="46">
        <f>IF(G96="","",IFERROR(INDEX(Products!$B$2:$B$101,MATCH(G96,Products!$A$2:$A$101,0)),"Unknown SKU"))</f>
        <v/>
      </c>
      <c r="K96" s="34" t="n"/>
      <c r="L96" s="34" t="n"/>
      <c r="M96" s="36" t="n"/>
      <c r="N96" s="36" t="n"/>
      <c r="O96" s="44">
        <f>IF(OR(H96="",I96=""),"",H96*I96)</f>
        <v/>
      </c>
      <c r="P96" s="44">
        <f>IF(O96="","",O96*IFERROR(INDEX(Settings!$B$8:$B$15,MATCH(C96,Settings!$A$8:$A$15,0)),0))</f>
        <v/>
      </c>
      <c r="Q96" s="44">
        <f>IF(OR(G96="",H96=""),"",H96*IFERROR(INDEX(Products!$J$2:$J$101,MATCH(G96,Products!$A$2:$A$101,0)),0))</f>
        <v/>
      </c>
      <c r="R96" s="44">
        <f>IF(K96="Delivered",N(O96)+N(M96)-N(N96)-N(P96)-N(Q96),IF(OR(K96="Returned",K96="Failed delivery"),-N(N96),""))</f>
        <v/>
      </c>
      <c r="S96">
        <f>IF(E96="","",IF(MATCH(E96,$E$2:E96,0)&lt;ROWS($E$2:E96),"Repeat","New"))</f>
        <v/>
      </c>
      <c r="T96" s="34" t="n"/>
    </row>
    <row r="97">
      <c r="A97" s="34" t="n"/>
      <c r="B97" s="45" t="n"/>
      <c r="C97" s="34" t="n"/>
      <c r="D97" s="34" t="n"/>
      <c r="E97" s="47" t="n"/>
      <c r="F97" s="34" t="n"/>
      <c r="G97" s="34" t="n"/>
      <c r="H97" s="34" t="n"/>
      <c r="I97" s="36" t="n"/>
      <c r="J97" s="46">
        <f>IF(G97="","",IFERROR(INDEX(Products!$B$2:$B$101,MATCH(G97,Products!$A$2:$A$101,0)),"Unknown SKU"))</f>
        <v/>
      </c>
      <c r="K97" s="34" t="n"/>
      <c r="L97" s="34" t="n"/>
      <c r="M97" s="36" t="n"/>
      <c r="N97" s="36" t="n"/>
      <c r="O97" s="44">
        <f>IF(OR(H97="",I97=""),"",H97*I97)</f>
        <v/>
      </c>
      <c r="P97" s="44">
        <f>IF(O97="","",O97*IFERROR(INDEX(Settings!$B$8:$B$15,MATCH(C97,Settings!$A$8:$A$15,0)),0))</f>
        <v/>
      </c>
      <c r="Q97" s="44">
        <f>IF(OR(G97="",H97=""),"",H97*IFERROR(INDEX(Products!$J$2:$J$101,MATCH(G97,Products!$A$2:$A$101,0)),0))</f>
        <v/>
      </c>
      <c r="R97" s="44">
        <f>IF(K97="Delivered",N(O97)+N(M97)-N(N97)-N(P97)-N(Q97),IF(OR(K97="Returned",K97="Failed delivery"),-N(N97),""))</f>
        <v/>
      </c>
      <c r="S97">
        <f>IF(E97="","",IF(MATCH(E97,$E$2:E97,0)&lt;ROWS($E$2:E97),"Repeat","New"))</f>
        <v/>
      </c>
      <c r="T97" s="34" t="n"/>
    </row>
    <row r="98">
      <c r="A98" s="34" t="n"/>
      <c r="B98" s="45" t="n"/>
      <c r="C98" s="34" t="n"/>
      <c r="D98" s="34" t="n"/>
      <c r="E98" s="47" t="n"/>
      <c r="F98" s="34" t="n"/>
      <c r="G98" s="34" t="n"/>
      <c r="H98" s="34" t="n"/>
      <c r="I98" s="36" t="n"/>
      <c r="J98" s="46">
        <f>IF(G98="","",IFERROR(INDEX(Products!$B$2:$B$101,MATCH(G98,Products!$A$2:$A$101,0)),"Unknown SKU"))</f>
        <v/>
      </c>
      <c r="K98" s="34" t="n"/>
      <c r="L98" s="34" t="n"/>
      <c r="M98" s="36" t="n"/>
      <c r="N98" s="36" t="n"/>
      <c r="O98" s="44">
        <f>IF(OR(H98="",I98=""),"",H98*I98)</f>
        <v/>
      </c>
      <c r="P98" s="44">
        <f>IF(O98="","",O98*IFERROR(INDEX(Settings!$B$8:$B$15,MATCH(C98,Settings!$A$8:$A$15,0)),0))</f>
        <v/>
      </c>
      <c r="Q98" s="44">
        <f>IF(OR(G98="",H98=""),"",H98*IFERROR(INDEX(Products!$J$2:$J$101,MATCH(G98,Products!$A$2:$A$101,0)),0))</f>
        <v/>
      </c>
      <c r="R98" s="44">
        <f>IF(K98="Delivered",N(O98)+N(M98)-N(N98)-N(P98)-N(Q98),IF(OR(K98="Returned",K98="Failed delivery"),-N(N98),""))</f>
        <v/>
      </c>
      <c r="S98">
        <f>IF(E98="","",IF(MATCH(E98,$E$2:E98,0)&lt;ROWS($E$2:E98),"Repeat","New"))</f>
        <v/>
      </c>
      <c r="T98" s="34" t="n"/>
    </row>
    <row r="99">
      <c r="A99" s="34" t="n"/>
      <c r="B99" s="45" t="n"/>
      <c r="C99" s="34" t="n"/>
      <c r="D99" s="34" t="n"/>
      <c r="E99" s="47" t="n"/>
      <c r="F99" s="34" t="n"/>
      <c r="G99" s="34" t="n"/>
      <c r="H99" s="34" t="n"/>
      <c r="I99" s="36" t="n"/>
      <c r="J99" s="46">
        <f>IF(G99="","",IFERROR(INDEX(Products!$B$2:$B$101,MATCH(G99,Products!$A$2:$A$101,0)),"Unknown SKU"))</f>
        <v/>
      </c>
      <c r="K99" s="34" t="n"/>
      <c r="L99" s="34" t="n"/>
      <c r="M99" s="36" t="n"/>
      <c r="N99" s="36" t="n"/>
      <c r="O99" s="44">
        <f>IF(OR(H99="",I99=""),"",H99*I99)</f>
        <v/>
      </c>
      <c r="P99" s="44">
        <f>IF(O99="","",O99*IFERROR(INDEX(Settings!$B$8:$B$15,MATCH(C99,Settings!$A$8:$A$15,0)),0))</f>
        <v/>
      </c>
      <c r="Q99" s="44">
        <f>IF(OR(G99="",H99=""),"",H99*IFERROR(INDEX(Products!$J$2:$J$101,MATCH(G99,Products!$A$2:$A$101,0)),0))</f>
        <v/>
      </c>
      <c r="R99" s="44">
        <f>IF(K99="Delivered",N(O99)+N(M99)-N(N99)-N(P99)-N(Q99),IF(OR(K99="Returned",K99="Failed delivery"),-N(N99),""))</f>
        <v/>
      </c>
      <c r="S99">
        <f>IF(E99="","",IF(MATCH(E99,$E$2:E99,0)&lt;ROWS($E$2:E99),"Repeat","New"))</f>
        <v/>
      </c>
      <c r="T99" s="34" t="n"/>
    </row>
    <row r="100">
      <c r="A100" s="34" t="n"/>
      <c r="B100" s="45" t="n"/>
      <c r="C100" s="34" t="n"/>
      <c r="D100" s="34" t="n"/>
      <c r="E100" s="47" t="n"/>
      <c r="F100" s="34" t="n"/>
      <c r="G100" s="34" t="n"/>
      <c r="H100" s="34" t="n"/>
      <c r="I100" s="36" t="n"/>
      <c r="J100" s="46">
        <f>IF(G100="","",IFERROR(INDEX(Products!$B$2:$B$101,MATCH(G100,Products!$A$2:$A$101,0)),"Unknown SKU"))</f>
        <v/>
      </c>
      <c r="K100" s="34" t="n"/>
      <c r="L100" s="34" t="n"/>
      <c r="M100" s="36" t="n"/>
      <c r="N100" s="36" t="n"/>
      <c r="O100" s="44">
        <f>IF(OR(H100="",I100=""),"",H100*I100)</f>
        <v/>
      </c>
      <c r="P100" s="44">
        <f>IF(O100="","",O100*IFERROR(INDEX(Settings!$B$8:$B$15,MATCH(C100,Settings!$A$8:$A$15,0)),0))</f>
        <v/>
      </c>
      <c r="Q100" s="44">
        <f>IF(OR(G100="",H100=""),"",H100*IFERROR(INDEX(Products!$J$2:$J$101,MATCH(G100,Products!$A$2:$A$101,0)),0))</f>
        <v/>
      </c>
      <c r="R100" s="44">
        <f>IF(K100="Delivered",N(O100)+N(M100)-N(N100)-N(P100)-N(Q100),IF(OR(K100="Returned",K100="Failed delivery"),-N(N100),""))</f>
        <v/>
      </c>
      <c r="S100">
        <f>IF(E100="","",IF(MATCH(E100,$E$2:E100,0)&lt;ROWS($E$2:E100),"Repeat","New"))</f>
        <v/>
      </c>
      <c r="T100" s="34" t="n"/>
    </row>
    <row r="101">
      <c r="A101" s="34" t="n"/>
      <c r="B101" s="45" t="n"/>
      <c r="C101" s="34" t="n"/>
      <c r="D101" s="34" t="n"/>
      <c r="E101" s="47" t="n"/>
      <c r="F101" s="34" t="n"/>
      <c r="G101" s="34" t="n"/>
      <c r="H101" s="34" t="n"/>
      <c r="I101" s="36" t="n"/>
      <c r="J101" s="46">
        <f>IF(G101="","",IFERROR(INDEX(Products!$B$2:$B$101,MATCH(G101,Products!$A$2:$A$101,0)),"Unknown SKU"))</f>
        <v/>
      </c>
      <c r="K101" s="34" t="n"/>
      <c r="L101" s="34" t="n"/>
      <c r="M101" s="36" t="n"/>
      <c r="N101" s="36" t="n"/>
      <c r="O101" s="44">
        <f>IF(OR(H101="",I101=""),"",H101*I101)</f>
        <v/>
      </c>
      <c r="P101" s="44">
        <f>IF(O101="","",O101*IFERROR(INDEX(Settings!$B$8:$B$15,MATCH(C101,Settings!$A$8:$A$15,0)),0))</f>
        <v/>
      </c>
      <c r="Q101" s="44">
        <f>IF(OR(G101="",H101=""),"",H101*IFERROR(INDEX(Products!$J$2:$J$101,MATCH(G101,Products!$A$2:$A$101,0)),0))</f>
        <v/>
      </c>
      <c r="R101" s="44">
        <f>IF(K101="Delivered",N(O101)+N(M101)-N(N101)-N(P101)-N(Q101),IF(OR(K101="Returned",K101="Failed delivery"),-N(N101),""))</f>
        <v/>
      </c>
      <c r="S101">
        <f>IF(E101="","",IF(MATCH(E101,$E$2:E101,0)&lt;ROWS($E$2:E101),"Repeat","New"))</f>
        <v/>
      </c>
      <c r="T101" s="34" t="n"/>
    </row>
    <row r="102">
      <c r="A102" s="34" t="n"/>
      <c r="B102" s="45" t="n"/>
      <c r="C102" s="34" t="n"/>
      <c r="D102" s="34" t="n"/>
      <c r="E102" s="47" t="n"/>
      <c r="F102" s="34" t="n"/>
      <c r="G102" s="34" t="n"/>
      <c r="H102" s="34" t="n"/>
      <c r="I102" s="36" t="n"/>
      <c r="J102" s="46">
        <f>IF(G102="","",IFERROR(INDEX(Products!$B$2:$B$101,MATCH(G102,Products!$A$2:$A$101,0)),"Unknown SKU"))</f>
        <v/>
      </c>
      <c r="K102" s="34" t="n"/>
      <c r="L102" s="34" t="n"/>
      <c r="M102" s="36" t="n"/>
      <c r="N102" s="36" t="n"/>
      <c r="O102" s="44">
        <f>IF(OR(H102="",I102=""),"",H102*I102)</f>
        <v/>
      </c>
      <c r="P102" s="44">
        <f>IF(O102="","",O102*IFERROR(INDEX(Settings!$B$8:$B$15,MATCH(C102,Settings!$A$8:$A$15,0)),0))</f>
        <v/>
      </c>
      <c r="Q102" s="44">
        <f>IF(OR(G102="",H102=""),"",H102*IFERROR(INDEX(Products!$J$2:$J$101,MATCH(G102,Products!$A$2:$A$101,0)),0))</f>
        <v/>
      </c>
      <c r="R102" s="44">
        <f>IF(K102="Delivered",N(O102)+N(M102)-N(N102)-N(P102)-N(Q102),IF(OR(K102="Returned",K102="Failed delivery"),-N(N102),""))</f>
        <v/>
      </c>
      <c r="S102">
        <f>IF(E102="","",IF(MATCH(E102,$E$2:E102,0)&lt;ROWS($E$2:E102),"Repeat","New"))</f>
        <v/>
      </c>
      <c r="T102" s="34" t="n"/>
    </row>
    <row r="103">
      <c r="A103" s="34" t="n"/>
      <c r="B103" s="45" t="n"/>
      <c r="C103" s="34" t="n"/>
      <c r="D103" s="34" t="n"/>
      <c r="E103" s="47" t="n"/>
      <c r="F103" s="34" t="n"/>
      <c r="G103" s="34" t="n"/>
      <c r="H103" s="34" t="n"/>
      <c r="I103" s="36" t="n"/>
      <c r="J103" s="46">
        <f>IF(G103="","",IFERROR(INDEX(Products!$B$2:$B$101,MATCH(G103,Products!$A$2:$A$101,0)),"Unknown SKU"))</f>
        <v/>
      </c>
      <c r="K103" s="34" t="n"/>
      <c r="L103" s="34" t="n"/>
      <c r="M103" s="36" t="n"/>
      <c r="N103" s="36" t="n"/>
      <c r="O103" s="44">
        <f>IF(OR(H103="",I103=""),"",H103*I103)</f>
        <v/>
      </c>
      <c r="P103" s="44">
        <f>IF(O103="","",O103*IFERROR(INDEX(Settings!$B$8:$B$15,MATCH(C103,Settings!$A$8:$A$15,0)),0))</f>
        <v/>
      </c>
      <c r="Q103" s="44">
        <f>IF(OR(G103="",H103=""),"",H103*IFERROR(INDEX(Products!$J$2:$J$101,MATCH(G103,Products!$A$2:$A$101,0)),0))</f>
        <v/>
      </c>
      <c r="R103" s="44">
        <f>IF(K103="Delivered",N(O103)+N(M103)-N(N103)-N(P103)-N(Q103),IF(OR(K103="Returned",K103="Failed delivery"),-N(N103),""))</f>
        <v/>
      </c>
      <c r="S103">
        <f>IF(E103="","",IF(MATCH(E103,$E$2:E103,0)&lt;ROWS($E$2:E103),"Repeat","New"))</f>
        <v/>
      </c>
      <c r="T103" s="34" t="n"/>
    </row>
    <row r="104">
      <c r="A104" s="34" t="n"/>
      <c r="B104" s="45" t="n"/>
      <c r="C104" s="34" t="n"/>
      <c r="D104" s="34" t="n"/>
      <c r="E104" s="47" t="n"/>
      <c r="F104" s="34" t="n"/>
      <c r="G104" s="34" t="n"/>
      <c r="H104" s="34" t="n"/>
      <c r="I104" s="36" t="n"/>
      <c r="J104" s="46">
        <f>IF(G104="","",IFERROR(INDEX(Products!$B$2:$B$101,MATCH(G104,Products!$A$2:$A$101,0)),"Unknown SKU"))</f>
        <v/>
      </c>
      <c r="K104" s="34" t="n"/>
      <c r="L104" s="34" t="n"/>
      <c r="M104" s="36" t="n"/>
      <c r="N104" s="36" t="n"/>
      <c r="O104" s="44">
        <f>IF(OR(H104="",I104=""),"",H104*I104)</f>
        <v/>
      </c>
      <c r="P104" s="44">
        <f>IF(O104="","",O104*IFERROR(INDEX(Settings!$B$8:$B$15,MATCH(C104,Settings!$A$8:$A$15,0)),0))</f>
        <v/>
      </c>
      <c r="Q104" s="44">
        <f>IF(OR(G104="",H104=""),"",H104*IFERROR(INDEX(Products!$J$2:$J$101,MATCH(G104,Products!$A$2:$A$101,0)),0))</f>
        <v/>
      </c>
      <c r="R104" s="44">
        <f>IF(K104="Delivered",N(O104)+N(M104)-N(N104)-N(P104)-N(Q104),IF(OR(K104="Returned",K104="Failed delivery"),-N(N104),""))</f>
        <v/>
      </c>
      <c r="S104">
        <f>IF(E104="","",IF(MATCH(E104,$E$2:E104,0)&lt;ROWS($E$2:E104),"Repeat","New"))</f>
        <v/>
      </c>
      <c r="T104" s="34" t="n"/>
    </row>
    <row r="105">
      <c r="A105" s="34" t="n"/>
      <c r="B105" s="45" t="n"/>
      <c r="C105" s="34" t="n"/>
      <c r="D105" s="34" t="n"/>
      <c r="E105" s="47" t="n"/>
      <c r="F105" s="34" t="n"/>
      <c r="G105" s="34" t="n"/>
      <c r="H105" s="34" t="n"/>
      <c r="I105" s="36" t="n"/>
      <c r="J105" s="46">
        <f>IF(G105="","",IFERROR(INDEX(Products!$B$2:$B$101,MATCH(G105,Products!$A$2:$A$101,0)),"Unknown SKU"))</f>
        <v/>
      </c>
      <c r="K105" s="34" t="n"/>
      <c r="L105" s="34" t="n"/>
      <c r="M105" s="36" t="n"/>
      <c r="N105" s="36" t="n"/>
      <c r="O105" s="44">
        <f>IF(OR(H105="",I105=""),"",H105*I105)</f>
        <v/>
      </c>
      <c r="P105" s="44">
        <f>IF(O105="","",O105*IFERROR(INDEX(Settings!$B$8:$B$15,MATCH(C105,Settings!$A$8:$A$15,0)),0))</f>
        <v/>
      </c>
      <c r="Q105" s="44">
        <f>IF(OR(G105="",H105=""),"",H105*IFERROR(INDEX(Products!$J$2:$J$101,MATCH(G105,Products!$A$2:$A$101,0)),0))</f>
        <v/>
      </c>
      <c r="R105" s="44">
        <f>IF(K105="Delivered",N(O105)+N(M105)-N(N105)-N(P105)-N(Q105),IF(OR(K105="Returned",K105="Failed delivery"),-N(N105),""))</f>
        <v/>
      </c>
      <c r="S105">
        <f>IF(E105="","",IF(MATCH(E105,$E$2:E105,0)&lt;ROWS($E$2:E105),"Repeat","New"))</f>
        <v/>
      </c>
      <c r="T105" s="34" t="n"/>
    </row>
    <row r="106">
      <c r="A106" s="34" t="n"/>
      <c r="B106" s="45" t="n"/>
      <c r="C106" s="34" t="n"/>
      <c r="D106" s="34" t="n"/>
      <c r="E106" s="47" t="n"/>
      <c r="F106" s="34" t="n"/>
      <c r="G106" s="34" t="n"/>
      <c r="H106" s="34" t="n"/>
      <c r="I106" s="36" t="n"/>
      <c r="J106" s="46">
        <f>IF(G106="","",IFERROR(INDEX(Products!$B$2:$B$101,MATCH(G106,Products!$A$2:$A$101,0)),"Unknown SKU"))</f>
        <v/>
      </c>
      <c r="K106" s="34" t="n"/>
      <c r="L106" s="34" t="n"/>
      <c r="M106" s="36" t="n"/>
      <c r="N106" s="36" t="n"/>
      <c r="O106" s="44">
        <f>IF(OR(H106="",I106=""),"",H106*I106)</f>
        <v/>
      </c>
      <c r="P106" s="44">
        <f>IF(O106="","",O106*IFERROR(INDEX(Settings!$B$8:$B$15,MATCH(C106,Settings!$A$8:$A$15,0)),0))</f>
        <v/>
      </c>
      <c r="Q106" s="44">
        <f>IF(OR(G106="",H106=""),"",H106*IFERROR(INDEX(Products!$J$2:$J$101,MATCH(G106,Products!$A$2:$A$101,0)),0))</f>
        <v/>
      </c>
      <c r="R106" s="44">
        <f>IF(K106="Delivered",N(O106)+N(M106)-N(N106)-N(P106)-N(Q106),IF(OR(K106="Returned",K106="Failed delivery"),-N(N106),""))</f>
        <v/>
      </c>
      <c r="S106">
        <f>IF(E106="","",IF(MATCH(E106,$E$2:E106,0)&lt;ROWS($E$2:E106),"Repeat","New"))</f>
        <v/>
      </c>
      <c r="T106" s="34" t="n"/>
    </row>
    <row r="107">
      <c r="A107" s="34" t="n"/>
      <c r="B107" s="45" t="n"/>
      <c r="C107" s="34" t="n"/>
      <c r="D107" s="34" t="n"/>
      <c r="E107" s="47" t="n"/>
      <c r="F107" s="34" t="n"/>
      <c r="G107" s="34" t="n"/>
      <c r="H107" s="34" t="n"/>
      <c r="I107" s="36" t="n"/>
      <c r="J107" s="46">
        <f>IF(G107="","",IFERROR(INDEX(Products!$B$2:$B$101,MATCH(G107,Products!$A$2:$A$101,0)),"Unknown SKU"))</f>
        <v/>
      </c>
      <c r="K107" s="34" t="n"/>
      <c r="L107" s="34" t="n"/>
      <c r="M107" s="36" t="n"/>
      <c r="N107" s="36" t="n"/>
      <c r="O107" s="44">
        <f>IF(OR(H107="",I107=""),"",H107*I107)</f>
        <v/>
      </c>
      <c r="P107" s="44">
        <f>IF(O107="","",O107*IFERROR(INDEX(Settings!$B$8:$B$15,MATCH(C107,Settings!$A$8:$A$15,0)),0))</f>
        <v/>
      </c>
      <c r="Q107" s="44">
        <f>IF(OR(G107="",H107=""),"",H107*IFERROR(INDEX(Products!$J$2:$J$101,MATCH(G107,Products!$A$2:$A$101,0)),0))</f>
        <v/>
      </c>
      <c r="R107" s="44">
        <f>IF(K107="Delivered",N(O107)+N(M107)-N(N107)-N(P107)-N(Q107),IF(OR(K107="Returned",K107="Failed delivery"),-N(N107),""))</f>
        <v/>
      </c>
      <c r="S107">
        <f>IF(E107="","",IF(MATCH(E107,$E$2:E107,0)&lt;ROWS($E$2:E107),"Repeat","New"))</f>
        <v/>
      </c>
      <c r="T107" s="34" t="n"/>
    </row>
    <row r="108">
      <c r="A108" s="34" t="n"/>
      <c r="B108" s="45" t="n"/>
      <c r="C108" s="34" t="n"/>
      <c r="D108" s="34" t="n"/>
      <c r="E108" s="47" t="n"/>
      <c r="F108" s="34" t="n"/>
      <c r="G108" s="34" t="n"/>
      <c r="H108" s="34" t="n"/>
      <c r="I108" s="36" t="n"/>
      <c r="J108" s="46">
        <f>IF(G108="","",IFERROR(INDEX(Products!$B$2:$B$101,MATCH(G108,Products!$A$2:$A$101,0)),"Unknown SKU"))</f>
        <v/>
      </c>
      <c r="K108" s="34" t="n"/>
      <c r="L108" s="34" t="n"/>
      <c r="M108" s="36" t="n"/>
      <c r="N108" s="36" t="n"/>
      <c r="O108" s="44">
        <f>IF(OR(H108="",I108=""),"",H108*I108)</f>
        <v/>
      </c>
      <c r="P108" s="44">
        <f>IF(O108="","",O108*IFERROR(INDEX(Settings!$B$8:$B$15,MATCH(C108,Settings!$A$8:$A$15,0)),0))</f>
        <v/>
      </c>
      <c r="Q108" s="44">
        <f>IF(OR(G108="",H108=""),"",H108*IFERROR(INDEX(Products!$J$2:$J$101,MATCH(G108,Products!$A$2:$A$101,0)),0))</f>
        <v/>
      </c>
      <c r="R108" s="44">
        <f>IF(K108="Delivered",N(O108)+N(M108)-N(N108)-N(P108)-N(Q108),IF(OR(K108="Returned",K108="Failed delivery"),-N(N108),""))</f>
        <v/>
      </c>
      <c r="S108">
        <f>IF(E108="","",IF(MATCH(E108,$E$2:E108,0)&lt;ROWS($E$2:E108),"Repeat","New"))</f>
        <v/>
      </c>
      <c r="T108" s="34" t="n"/>
    </row>
    <row r="109">
      <c r="A109" s="34" t="n"/>
      <c r="B109" s="45" t="n"/>
      <c r="C109" s="34" t="n"/>
      <c r="D109" s="34" t="n"/>
      <c r="E109" s="47" t="n"/>
      <c r="F109" s="34" t="n"/>
      <c r="G109" s="34" t="n"/>
      <c r="H109" s="34" t="n"/>
      <c r="I109" s="36" t="n"/>
      <c r="J109" s="46">
        <f>IF(G109="","",IFERROR(INDEX(Products!$B$2:$B$101,MATCH(G109,Products!$A$2:$A$101,0)),"Unknown SKU"))</f>
        <v/>
      </c>
      <c r="K109" s="34" t="n"/>
      <c r="L109" s="34" t="n"/>
      <c r="M109" s="36" t="n"/>
      <c r="N109" s="36" t="n"/>
      <c r="O109" s="44">
        <f>IF(OR(H109="",I109=""),"",H109*I109)</f>
        <v/>
      </c>
      <c r="P109" s="44">
        <f>IF(O109="","",O109*IFERROR(INDEX(Settings!$B$8:$B$15,MATCH(C109,Settings!$A$8:$A$15,0)),0))</f>
        <v/>
      </c>
      <c r="Q109" s="44">
        <f>IF(OR(G109="",H109=""),"",H109*IFERROR(INDEX(Products!$J$2:$J$101,MATCH(G109,Products!$A$2:$A$101,0)),0))</f>
        <v/>
      </c>
      <c r="R109" s="44">
        <f>IF(K109="Delivered",N(O109)+N(M109)-N(N109)-N(P109)-N(Q109),IF(OR(K109="Returned",K109="Failed delivery"),-N(N109),""))</f>
        <v/>
      </c>
      <c r="S109">
        <f>IF(E109="","",IF(MATCH(E109,$E$2:E109,0)&lt;ROWS($E$2:E109),"Repeat","New"))</f>
        <v/>
      </c>
      <c r="T109" s="34" t="n"/>
    </row>
    <row r="110">
      <c r="A110" s="34" t="n"/>
      <c r="B110" s="45" t="n"/>
      <c r="C110" s="34" t="n"/>
      <c r="D110" s="34" t="n"/>
      <c r="E110" s="47" t="n"/>
      <c r="F110" s="34" t="n"/>
      <c r="G110" s="34" t="n"/>
      <c r="H110" s="34" t="n"/>
      <c r="I110" s="36" t="n"/>
      <c r="J110" s="46">
        <f>IF(G110="","",IFERROR(INDEX(Products!$B$2:$B$101,MATCH(G110,Products!$A$2:$A$101,0)),"Unknown SKU"))</f>
        <v/>
      </c>
      <c r="K110" s="34" t="n"/>
      <c r="L110" s="34" t="n"/>
      <c r="M110" s="36" t="n"/>
      <c r="N110" s="36" t="n"/>
      <c r="O110" s="44">
        <f>IF(OR(H110="",I110=""),"",H110*I110)</f>
        <v/>
      </c>
      <c r="P110" s="44">
        <f>IF(O110="","",O110*IFERROR(INDEX(Settings!$B$8:$B$15,MATCH(C110,Settings!$A$8:$A$15,0)),0))</f>
        <v/>
      </c>
      <c r="Q110" s="44">
        <f>IF(OR(G110="",H110=""),"",H110*IFERROR(INDEX(Products!$J$2:$J$101,MATCH(G110,Products!$A$2:$A$101,0)),0))</f>
        <v/>
      </c>
      <c r="R110" s="44">
        <f>IF(K110="Delivered",N(O110)+N(M110)-N(N110)-N(P110)-N(Q110),IF(OR(K110="Returned",K110="Failed delivery"),-N(N110),""))</f>
        <v/>
      </c>
      <c r="S110">
        <f>IF(E110="","",IF(MATCH(E110,$E$2:E110,0)&lt;ROWS($E$2:E110),"Repeat","New"))</f>
        <v/>
      </c>
      <c r="T110" s="34" t="n"/>
    </row>
    <row r="111">
      <c r="A111" s="34" t="n"/>
      <c r="B111" s="45" t="n"/>
      <c r="C111" s="34" t="n"/>
      <c r="D111" s="34" t="n"/>
      <c r="E111" s="47" t="n"/>
      <c r="F111" s="34" t="n"/>
      <c r="G111" s="34" t="n"/>
      <c r="H111" s="34" t="n"/>
      <c r="I111" s="36" t="n"/>
      <c r="J111" s="46">
        <f>IF(G111="","",IFERROR(INDEX(Products!$B$2:$B$101,MATCH(G111,Products!$A$2:$A$101,0)),"Unknown SKU"))</f>
        <v/>
      </c>
      <c r="K111" s="34" t="n"/>
      <c r="L111" s="34" t="n"/>
      <c r="M111" s="36" t="n"/>
      <c r="N111" s="36" t="n"/>
      <c r="O111" s="44">
        <f>IF(OR(H111="",I111=""),"",H111*I111)</f>
        <v/>
      </c>
      <c r="P111" s="44">
        <f>IF(O111="","",O111*IFERROR(INDEX(Settings!$B$8:$B$15,MATCH(C111,Settings!$A$8:$A$15,0)),0))</f>
        <v/>
      </c>
      <c r="Q111" s="44">
        <f>IF(OR(G111="",H111=""),"",H111*IFERROR(INDEX(Products!$J$2:$J$101,MATCH(G111,Products!$A$2:$A$101,0)),0))</f>
        <v/>
      </c>
      <c r="R111" s="44">
        <f>IF(K111="Delivered",N(O111)+N(M111)-N(N111)-N(P111)-N(Q111),IF(OR(K111="Returned",K111="Failed delivery"),-N(N111),""))</f>
        <v/>
      </c>
      <c r="S111">
        <f>IF(E111="","",IF(MATCH(E111,$E$2:E111,0)&lt;ROWS($E$2:E111),"Repeat","New"))</f>
        <v/>
      </c>
      <c r="T111" s="34" t="n"/>
    </row>
    <row r="112">
      <c r="A112" s="34" t="n"/>
      <c r="B112" s="45" t="n"/>
      <c r="C112" s="34" t="n"/>
      <c r="D112" s="34" t="n"/>
      <c r="E112" s="47" t="n"/>
      <c r="F112" s="34" t="n"/>
      <c r="G112" s="34" t="n"/>
      <c r="H112" s="34" t="n"/>
      <c r="I112" s="36" t="n"/>
      <c r="J112" s="46">
        <f>IF(G112="","",IFERROR(INDEX(Products!$B$2:$B$101,MATCH(G112,Products!$A$2:$A$101,0)),"Unknown SKU"))</f>
        <v/>
      </c>
      <c r="K112" s="34" t="n"/>
      <c r="L112" s="34" t="n"/>
      <c r="M112" s="36" t="n"/>
      <c r="N112" s="36" t="n"/>
      <c r="O112" s="44">
        <f>IF(OR(H112="",I112=""),"",H112*I112)</f>
        <v/>
      </c>
      <c r="P112" s="44">
        <f>IF(O112="","",O112*IFERROR(INDEX(Settings!$B$8:$B$15,MATCH(C112,Settings!$A$8:$A$15,0)),0))</f>
        <v/>
      </c>
      <c r="Q112" s="44">
        <f>IF(OR(G112="",H112=""),"",H112*IFERROR(INDEX(Products!$J$2:$J$101,MATCH(G112,Products!$A$2:$A$101,0)),0))</f>
        <v/>
      </c>
      <c r="R112" s="44">
        <f>IF(K112="Delivered",N(O112)+N(M112)-N(N112)-N(P112)-N(Q112),IF(OR(K112="Returned",K112="Failed delivery"),-N(N112),""))</f>
        <v/>
      </c>
      <c r="S112">
        <f>IF(E112="","",IF(MATCH(E112,$E$2:E112,0)&lt;ROWS($E$2:E112),"Repeat","New"))</f>
        <v/>
      </c>
      <c r="T112" s="34" t="n"/>
    </row>
    <row r="113">
      <c r="A113" s="34" t="n"/>
      <c r="B113" s="45" t="n"/>
      <c r="C113" s="34" t="n"/>
      <c r="D113" s="34" t="n"/>
      <c r="E113" s="47" t="n"/>
      <c r="F113" s="34" t="n"/>
      <c r="G113" s="34" t="n"/>
      <c r="H113" s="34" t="n"/>
      <c r="I113" s="36" t="n"/>
      <c r="J113" s="46">
        <f>IF(G113="","",IFERROR(INDEX(Products!$B$2:$B$101,MATCH(G113,Products!$A$2:$A$101,0)),"Unknown SKU"))</f>
        <v/>
      </c>
      <c r="K113" s="34" t="n"/>
      <c r="L113" s="34" t="n"/>
      <c r="M113" s="36" t="n"/>
      <c r="N113" s="36" t="n"/>
      <c r="O113" s="44">
        <f>IF(OR(H113="",I113=""),"",H113*I113)</f>
        <v/>
      </c>
      <c r="P113" s="44">
        <f>IF(O113="","",O113*IFERROR(INDEX(Settings!$B$8:$B$15,MATCH(C113,Settings!$A$8:$A$15,0)),0))</f>
        <v/>
      </c>
      <c r="Q113" s="44">
        <f>IF(OR(G113="",H113=""),"",H113*IFERROR(INDEX(Products!$J$2:$J$101,MATCH(G113,Products!$A$2:$A$101,0)),0))</f>
        <v/>
      </c>
      <c r="R113" s="44">
        <f>IF(K113="Delivered",N(O113)+N(M113)-N(N113)-N(P113)-N(Q113),IF(OR(K113="Returned",K113="Failed delivery"),-N(N113),""))</f>
        <v/>
      </c>
      <c r="S113">
        <f>IF(E113="","",IF(MATCH(E113,$E$2:E113,0)&lt;ROWS($E$2:E113),"Repeat","New"))</f>
        <v/>
      </c>
      <c r="T113" s="34" t="n"/>
    </row>
    <row r="114">
      <c r="A114" s="34" t="n"/>
      <c r="B114" s="45" t="n"/>
      <c r="C114" s="34" t="n"/>
      <c r="D114" s="34" t="n"/>
      <c r="E114" s="47" t="n"/>
      <c r="F114" s="34" t="n"/>
      <c r="G114" s="34" t="n"/>
      <c r="H114" s="34" t="n"/>
      <c r="I114" s="36" t="n"/>
      <c r="J114" s="46">
        <f>IF(G114="","",IFERROR(INDEX(Products!$B$2:$B$101,MATCH(G114,Products!$A$2:$A$101,0)),"Unknown SKU"))</f>
        <v/>
      </c>
      <c r="K114" s="34" t="n"/>
      <c r="L114" s="34" t="n"/>
      <c r="M114" s="36" t="n"/>
      <c r="N114" s="36" t="n"/>
      <c r="O114" s="44">
        <f>IF(OR(H114="",I114=""),"",H114*I114)</f>
        <v/>
      </c>
      <c r="P114" s="44">
        <f>IF(O114="","",O114*IFERROR(INDEX(Settings!$B$8:$B$15,MATCH(C114,Settings!$A$8:$A$15,0)),0))</f>
        <v/>
      </c>
      <c r="Q114" s="44">
        <f>IF(OR(G114="",H114=""),"",H114*IFERROR(INDEX(Products!$J$2:$J$101,MATCH(G114,Products!$A$2:$A$101,0)),0))</f>
        <v/>
      </c>
      <c r="R114" s="44">
        <f>IF(K114="Delivered",N(O114)+N(M114)-N(N114)-N(P114)-N(Q114),IF(OR(K114="Returned",K114="Failed delivery"),-N(N114),""))</f>
        <v/>
      </c>
      <c r="S114">
        <f>IF(E114="","",IF(MATCH(E114,$E$2:E114,0)&lt;ROWS($E$2:E114),"Repeat","New"))</f>
        <v/>
      </c>
      <c r="T114" s="34" t="n"/>
    </row>
    <row r="115">
      <c r="A115" s="34" t="n"/>
      <c r="B115" s="45" t="n"/>
      <c r="C115" s="34" t="n"/>
      <c r="D115" s="34" t="n"/>
      <c r="E115" s="47" t="n"/>
      <c r="F115" s="34" t="n"/>
      <c r="G115" s="34" t="n"/>
      <c r="H115" s="34" t="n"/>
      <c r="I115" s="36" t="n"/>
      <c r="J115" s="46">
        <f>IF(G115="","",IFERROR(INDEX(Products!$B$2:$B$101,MATCH(G115,Products!$A$2:$A$101,0)),"Unknown SKU"))</f>
        <v/>
      </c>
      <c r="K115" s="34" t="n"/>
      <c r="L115" s="34" t="n"/>
      <c r="M115" s="36" t="n"/>
      <c r="N115" s="36" t="n"/>
      <c r="O115" s="44">
        <f>IF(OR(H115="",I115=""),"",H115*I115)</f>
        <v/>
      </c>
      <c r="P115" s="44">
        <f>IF(O115="","",O115*IFERROR(INDEX(Settings!$B$8:$B$15,MATCH(C115,Settings!$A$8:$A$15,0)),0))</f>
        <v/>
      </c>
      <c r="Q115" s="44">
        <f>IF(OR(G115="",H115=""),"",H115*IFERROR(INDEX(Products!$J$2:$J$101,MATCH(G115,Products!$A$2:$A$101,0)),0))</f>
        <v/>
      </c>
      <c r="R115" s="44">
        <f>IF(K115="Delivered",N(O115)+N(M115)-N(N115)-N(P115)-N(Q115),IF(OR(K115="Returned",K115="Failed delivery"),-N(N115),""))</f>
        <v/>
      </c>
      <c r="S115">
        <f>IF(E115="","",IF(MATCH(E115,$E$2:E115,0)&lt;ROWS($E$2:E115),"Repeat","New"))</f>
        <v/>
      </c>
      <c r="T115" s="34" t="n"/>
    </row>
    <row r="116">
      <c r="A116" s="34" t="n"/>
      <c r="B116" s="45" t="n"/>
      <c r="C116" s="34" t="n"/>
      <c r="D116" s="34" t="n"/>
      <c r="E116" s="47" t="n"/>
      <c r="F116" s="34" t="n"/>
      <c r="G116" s="34" t="n"/>
      <c r="H116" s="34" t="n"/>
      <c r="I116" s="36" t="n"/>
      <c r="J116" s="46">
        <f>IF(G116="","",IFERROR(INDEX(Products!$B$2:$B$101,MATCH(G116,Products!$A$2:$A$101,0)),"Unknown SKU"))</f>
        <v/>
      </c>
      <c r="K116" s="34" t="n"/>
      <c r="L116" s="34" t="n"/>
      <c r="M116" s="36" t="n"/>
      <c r="N116" s="36" t="n"/>
      <c r="O116" s="44">
        <f>IF(OR(H116="",I116=""),"",H116*I116)</f>
        <v/>
      </c>
      <c r="P116" s="44">
        <f>IF(O116="","",O116*IFERROR(INDEX(Settings!$B$8:$B$15,MATCH(C116,Settings!$A$8:$A$15,0)),0))</f>
        <v/>
      </c>
      <c r="Q116" s="44">
        <f>IF(OR(G116="",H116=""),"",H116*IFERROR(INDEX(Products!$J$2:$J$101,MATCH(G116,Products!$A$2:$A$101,0)),0))</f>
        <v/>
      </c>
      <c r="R116" s="44">
        <f>IF(K116="Delivered",N(O116)+N(M116)-N(N116)-N(P116)-N(Q116),IF(OR(K116="Returned",K116="Failed delivery"),-N(N116),""))</f>
        <v/>
      </c>
      <c r="S116">
        <f>IF(E116="","",IF(MATCH(E116,$E$2:E116,0)&lt;ROWS($E$2:E116),"Repeat","New"))</f>
        <v/>
      </c>
      <c r="T116" s="34" t="n"/>
    </row>
    <row r="117">
      <c r="A117" s="34" t="n"/>
      <c r="B117" s="45" t="n"/>
      <c r="C117" s="34" t="n"/>
      <c r="D117" s="34" t="n"/>
      <c r="E117" s="47" t="n"/>
      <c r="F117" s="34" t="n"/>
      <c r="G117" s="34" t="n"/>
      <c r="H117" s="34" t="n"/>
      <c r="I117" s="36" t="n"/>
      <c r="J117" s="46">
        <f>IF(G117="","",IFERROR(INDEX(Products!$B$2:$B$101,MATCH(G117,Products!$A$2:$A$101,0)),"Unknown SKU"))</f>
        <v/>
      </c>
      <c r="K117" s="34" t="n"/>
      <c r="L117" s="34" t="n"/>
      <c r="M117" s="36" t="n"/>
      <c r="N117" s="36" t="n"/>
      <c r="O117" s="44">
        <f>IF(OR(H117="",I117=""),"",H117*I117)</f>
        <v/>
      </c>
      <c r="P117" s="44">
        <f>IF(O117="","",O117*IFERROR(INDEX(Settings!$B$8:$B$15,MATCH(C117,Settings!$A$8:$A$15,0)),0))</f>
        <v/>
      </c>
      <c r="Q117" s="44">
        <f>IF(OR(G117="",H117=""),"",H117*IFERROR(INDEX(Products!$J$2:$J$101,MATCH(G117,Products!$A$2:$A$101,0)),0))</f>
        <v/>
      </c>
      <c r="R117" s="44">
        <f>IF(K117="Delivered",N(O117)+N(M117)-N(N117)-N(P117)-N(Q117),IF(OR(K117="Returned",K117="Failed delivery"),-N(N117),""))</f>
        <v/>
      </c>
      <c r="S117">
        <f>IF(E117="","",IF(MATCH(E117,$E$2:E117,0)&lt;ROWS($E$2:E117),"Repeat","New"))</f>
        <v/>
      </c>
      <c r="T117" s="34" t="n"/>
    </row>
    <row r="118">
      <c r="A118" s="34" t="n"/>
      <c r="B118" s="45" t="n"/>
      <c r="C118" s="34" t="n"/>
      <c r="D118" s="34" t="n"/>
      <c r="E118" s="47" t="n"/>
      <c r="F118" s="34" t="n"/>
      <c r="G118" s="34" t="n"/>
      <c r="H118" s="34" t="n"/>
      <c r="I118" s="36" t="n"/>
      <c r="J118" s="46">
        <f>IF(G118="","",IFERROR(INDEX(Products!$B$2:$B$101,MATCH(G118,Products!$A$2:$A$101,0)),"Unknown SKU"))</f>
        <v/>
      </c>
      <c r="K118" s="34" t="n"/>
      <c r="L118" s="34" t="n"/>
      <c r="M118" s="36" t="n"/>
      <c r="N118" s="36" t="n"/>
      <c r="O118" s="44">
        <f>IF(OR(H118="",I118=""),"",H118*I118)</f>
        <v/>
      </c>
      <c r="P118" s="44">
        <f>IF(O118="","",O118*IFERROR(INDEX(Settings!$B$8:$B$15,MATCH(C118,Settings!$A$8:$A$15,0)),0))</f>
        <v/>
      </c>
      <c r="Q118" s="44">
        <f>IF(OR(G118="",H118=""),"",H118*IFERROR(INDEX(Products!$J$2:$J$101,MATCH(G118,Products!$A$2:$A$101,0)),0))</f>
        <v/>
      </c>
      <c r="R118" s="44">
        <f>IF(K118="Delivered",N(O118)+N(M118)-N(N118)-N(P118)-N(Q118),IF(OR(K118="Returned",K118="Failed delivery"),-N(N118),""))</f>
        <v/>
      </c>
      <c r="S118">
        <f>IF(E118="","",IF(MATCH(E118,$E$2:E118,0)&lt;ROWS($E$2:E118),"Repeat","New"))</f>
        <v/>
      </c>
      <c r="T118" s="34" t="n"/>
    </row>
    <row r="119">
      <c r="A119" s="34" t="n"/>
      <c r="B119" s="45" t="n"/>
      <c r="C119" s="34" t="n"/>
      <c r="D119" s="34" t="n"/>
      <c r="E119" s="47" t="n"/>
      <c r="F119" s="34" t="n"/>
      <c r="G119" s="34" t="n"/>
      <c r="H119" s="34" t="n"/>
      <c r="I119" s="36" t="n"/>
      <c r="J119" s="46">
        <f>IF(G119="","",IFERROR(INDEX(Products!$B$2:$B$101,MATCH(G119,Products!$A$2:$A$101,0)),"Unknown SKU"))</f>
        <v/>
      </c>
      <c r="K119" s="34" t="n"/>
      <c r="L119" s="34" t="n"/>
      <c r="M119" s="36" t="n"/>
      <c r="N119" s="36" t="n"/>
      <c r="O119" s="44">
        <f>IF(OR(H119="",I119=""),"",H119*I119)</f>
        <v/>
      </c>
      <c r="P119" s="44">
        <f>IF(O119="","",O119*IFERROR(INDEX(Settings!$B$8:$B$15,MATCH(C119,Settings!$A$8:$A$15,0)),0))</f>
        <v/>
      </c>
      <c r="Q119" s="44">
        <f>IF(OR(G119="",H119=""),"",H119*IFERROR(INDEX(Products!$J$2:$J$101,MATCH(G119,Products!$A$2:$A$101,0)),0))</f>
        <v/>
      </c>
      <c r="R119" s="44">
        <f>IF(K119="Delivered",N(O119)+N(M119)-N(N119)-N(P119)-N(Q119),IF(OR(K119="Returned",K119="Failed delivery"),-N(N119),""))</f>
        <v/>
      </c>
      <c r="S119">
        <f>IF(E119="","",IF(MATCH(E119,$E$2:E119,0)&lt;ROWS($E$2:E119),"Repeat","New"))</f>
        <v/>
      </c>
      <c r="T119" s="34" t="n"/>
    </row>
    <row r="120">
      <c r="A120" s="34" t="n"/>
      <c r="B120" s="45" t="n"/>
      <c r="C120" s="34" t="n"/>
      <c r="D120" s="34" t="n"/>
      <c r="E120" s="47" t="n"/>
      <c r="F120" s="34" t="n"/>
      <c r="G120" s="34" t="n"/>
      <c r="H120" s="34" t="n"/>
      <c r="I120" s="36" t="n"/>
      <c r="J120" s="46">
        <f>IF(G120="","",IFERROR(INDEX(Products!$B$2:$B$101,MATCH(G120,Products!$A$2:$A$101,0)),"Unknown SKU"))</f>
        <v/>
      </c>
      <c r="K120" s="34" t="n"/>
      <c r="L120" s="34" t="n"/>
      <c r="M120" s="36" t="n"/>
      <c r="N120" s="36" t="n"/>
      <c r="O120" s="44">
        <f>IF(OR(H120="",I120=""),"",H120*I120)</f>
        <v/>
      </c>
      <c r="P120" s="44">
        <f>IF(O120="","",O120*IFERROR(INDEX(Settings!$B$8:$B$15,MATCH(C120,Settings!$A$8:$A$15,0)),0))</f>
        <v/>
      </c>
      <c r="Q120" s="44">
        <f>IF(OR(G120="",H120=""),"",H120*IFERROR(INDEX(Products!$J$2:$J$101,MATCH(G120,Products!$A$2:$A$101,0)),0))</f>
        <v/>
      </c>
      <c r="R120" s="44">
        <f>IF(K120="Delivered",N(O120)+N(M120)-N(N120)-N(P120)-N(Q120),IF(OR(K120="Returned",K120="Failed delivery"),-N(N120),""))</f>
        <v/>
      </c>
      <c r="S120">
        <f>IF(E120="","",IF(MATCH(E120,$E$2:E120,0)&lt;ROWS($E$2:E120),"Repeat","New"))</f>
        <v/>
      </c>
      <c r="T120" s="34" t="n"/>
    </row>
    <row r="121">
      <c r="A121" s="34" t="n"/>
      <c r="B121" s="45" t="n"/>
      <c r="C121" s="34" t="n"/>
      <c r="D121" s="34" t="n"/>
      <c r="E121" s="47" t="n"/>
      <c r="F121" s="34" t="n"/>
      <c r="G121" s="34" t="n"/>
      <c r="H121" s="34" t="n"/>
      <c r="I121" s="36" t="n"/>
      <c r="J121" s="46">
        <f>IF(G121="","",IFERROR(INDEX(Products!$B$2:$B$101,MATCH(G121,Products!$A$2:$A$101,0)),"Unknown SKU"))</f>
        <v/>
      </c>
      <c r="K121" s="34" t="n"/>
      <c r="L121" s="34" t="n"/>
      <c r="M121" s="36" t="n"/>
      <c r="N121" s="36" t="n"/>
      <c r="O121" s="44">
        <f>IF(OR(H121="",I121=""),"",H121*I121)</f>
        <v/>
      </c>
      <c r="P121" s="44">
        <f>IF(O121="","",O121*IFERROR(INDEX(Settings!$B$8:$B$15,MATCH(C121,Settings!$A$8:$A$15,0)),0))</f>
        <v/>
      </c>
      <c r="Q121" s="44">
        <f>IF(OR(G121="",H121=""),"",H121*IFERROR(INDEX(Products!$J$2:$J$101,MATCH(G121,Products!$A$2:$A$101,0)),0))</f>
        <v/>
      </c>
      <c r="R121" s="44">
        <f>IF(K121="Delivered",N(O121)+N(M121)-N(N121)-N(P121)-N(Q121),IF(OR(K121="Returned",K121="Failed delivery"),-N(N121),""))</f>
        <v/>
      </c>
      <c r="S121">
        <f>IF(E121="","",IF(MATCH(E121,$E$2:E121,0)&lt;ROWS($E$2:E121),"Repeat","New"))</f>
        <v/>
      </c>
      <c r="T121" s="34" t="n"/>
    </row>
    <row r="122">
      <c r="A122" s="34" t="n"/>
      <c r="B122" s="45" t="n"/>
      <c r="C122" s="34" t="n"/>
      <c r="D122" s="34" t="n"/>
      <c r="E122" s="47" t="n"/>
      <c r="F122" s="34" t="n"/>
      <c r="G122" s="34" t="n"/>
      <c r="H122" s="34" t="n"/>
      <c r="I122" s="36" t="n"/>
      <c r="J122" s="46">
        <f>IF(G122="","",IFERROR(INDEX(Products!$B$2:$B$101,MATCH(G122,Products!$A$2:$A$101,0)),"Unknown SKU"))</f>
        <v/>
      </c>
      <c r="K122" s="34" t="n"/>
      <c r="L122" s="34" t="n"/>
      <c r="M122" s="36" t="n"/>
      <c r="N122" s="36" t="n"/>
      <c r="O122" s="44">
        <f>IF(OR(H122="",I122=""),"",H122*I122)</f>
        <v/>
      </c>
      <c r="P122" s="44">
        <f>IF(O122="","",O122*IFERROR(INDEX(Settings!$B$8:$B$15,MATCH(C122,Settings!$A$8:$A$15,0)),0))</f>
        <v/>
      </c>
      <c r="Q122" s="44">
        <f>IF(OR(G122="",H122=""),"",H122*IFERROR(INDEX(Products!$J$2:$J$101,MATCH(G122,Products!$A$2:$A$101,0)),0))</f>
        <v/>
      </c>
      <c r="R122" s="44">
        <f>IF(K122="Delivered",N(O122)+N(M122)-N(N122)-N(P122)-N(Q122),IF(OR(K122="Returned",K122="Failed delivery"),-N(N122),""))</f>
        <v/>
      </c>
      <c r="S122">
        <f>IF(E122="","",IF(MATCH(E122,$E$2:E122,0)&lt;ROWS($E$2:E122),"Repeat","New"))</f>
        <v/>
      </c>
      <c r="T122" s="34" t="n"/>
    </row>
    <row r="123">
      <c r="A123" s="34" t="n"/>
      <c r="B123" s="45" t="n"/>
      <c r="C123" s="34" t="n"/>
      <c r="D123" s="34" t="n"/>
      <c r="E123" s="47" t="n"/>
      <c r="F123" s="34" t="n"/>
      <c r="G123" s="34" t="n"/>
      <c r="H123" s="34" t="n"/>
      <c r="I123" s="36" t="n"/>
      <c r="J123" s="46">
        <f>IF(G123="","",IFERROR(INDEX(Products!$B$2:$B$101,MATCH(G123,Products!$A$2:$A$101,0)),"Unknown SKU"))</f>
        <v/>
      </c>
      <c r="K123" s="34" t="n"/>
      <c r="L123" s="34" t="n"/>
      <c r="M123" s="36" t="n"/>
      <c r="N123" s="36" t="n"/>
      <c r="O123" s="44">
        <f>IF(OR(H123="",I123=""),"",H123*I123)</f>
        <v/>
      </c>
      <c r="P123" s="44">
        <f>IF(O123="","",O123*IFERROR(INDEX(Settings!$B$8:$B$15,MATCH(C123,Settings!$A$8:$A$15,0)),0))</f>
        <v/>
      </c>
      <c r="Q123" s="44">
        <f>IF(OR(G123="",H123=""),"",H123*IFERROR(INDEX(Products!$J$2:$J$101,MATCH(G123,Products!$A$2:$A$101,0)),0))</f>
        <v/>
      </c>
      <c r="R123" s="44">
        <f>IF(K123="Delivered",N(O123)+N(M123)-N(N123)-N(P123)-N(Q123),IF(OR(K123="Returned",K123="Failed delivery"),-N(N123),""))</f>
        <v/>
      </c>
      <c r="S123">
        <f>IF(E123="","",IF(MATCH(E123,$E$2:E123,0)&lt;ROWS($E$2:E123),"Repeat","New"))</f>
        <v/>
      </c>
      <c r="T123" s="34" t="n"/>
    </row>
    <row r="124">
      <c r="A124" s="34" t="n"/>
      <c r="B124" s="45" t="n"/>
      <c r="C124" s="34" t="n"/>
      <c r="D124" s="34" t="n"/>
      <c r="E124" s="47" t="n"/>
      <c r="F124" s="34" t="n"/>
      <c r="G124" s="34" t="n"/>
      <c r="H124" s="34" t="n"/>
      <c r="I124" s="36" t="n"/>
      <c r="J124" s="46">
        <f>IF(G124="","",IFERROR(INDEX(Products!$B$2:$B$101,MATCH(G124,Products!$A$2:$A$101,0)),"Unknown SKU"))</f>
        <v/>
      </c>
      <c r="K124" s="34" t="n"/>
      <c r="L124" s="34" t="n"/>
      <c r="M124" s="36" t="n"/>
      <c r="N124" s="36" t="n"/>
      <c r="O124" s="44">
        <f>IF(OR(H124="",I124=""),"",H124*I124)</f>
        <v/>
      </c>
      <c r="P124" s="44">
        <f>IF(O124="","",O124*IFERROR(INDEX(Settings!$B$8:$B$15,MATCH(C124,Settings!$A$8:$A$15,0)),0))</f>
        <v/>
      </c>
      <c r="Q124" s="44">
        <f>IF(OR(G124="",H124=""),"",H124*IFERROR(INDEX(Products!$J$2:$J$101,MATCH(G124,Products!$A$2:$A$101,0)),0))</f>
        <v/>
      </c>
      <c r="R124" s="44">
        <f>IF(K124="Delivered",N(O124)+N(M124)-N(N124)-N(P124)-N(Q124),IF(OR(K124="Returned",K124="Failed delivery"),-N(N124),""))</f>
        <v/>
      </c>
      <c r="S124">
        <f>IF(E124="","",IF(MATCH(E124,$E$2:E124,0)&lt;ROWS($E$2:E124),"Repeat","New"))</f>
        <v/>
      </c>
      <c r="T124" s="34" t="n"/>
    </row>
    <row r="125">
      <c r="A125" s="34" t="n"/>
      <c r="B125" s="45" t="n"/>
      <c r="C125" s="34" t="n"/>
      <c r="D125" s="34" t="n"/>
      <c r="E125" s="47" t="n"/>
      <c r="F125" s="34" t="n"/>
      <c r="G125" s="34" t="n"/>
      <c r="H125" s="34" t="n"/>
      <c r="I125" s="36" t="n"/>
      <c r="J125" s="46">
        <f>IF(G125="","",IFERROR(INDEX(Products!$B$2:$B$101,MATCH(G125,Products!$A$2:$A$101,0)),"Unknown SKU"))</f>
        <v/>
      </c>
      <c r="K125" s="34" t="n"/>
      <c r="L125" s="34" t="n"/>
      <c r="M125" s="36" t="n"/>
      <c r="N125" s="36" t="n"/>
      <c r="O125" s="44">
        <f>IF(OR(H125="",I125=""),"",H125*I125)</f>
        <v/>
      </c>
      <c r="P125" s="44">
        <f>IF(O125="","",O125*IFERROR(INDEX(Settings!$B$8:$B$15,MATCH(C125,Settings!$A$8:$A$15,0)),0))</f>
        <v/>
      </c>
      <c r="Q125" s="44">
        <f>IF(OR(G125="",H125=""),"",H125*IFERROR(INDEX(Products!$J$2:$J$101,MATCH(G125,Products!$A$2:$A$101,0)),0))</f>
        <v/>
      </c>
      <c r="R125" s="44">
        <f>IF(K125="Delivered",N(O125)+N(M125)-N(N125)-N(P125)-N(Q125),IF(OR(K125="Returned",K125="Failed delivery"),-N(N125),""))</f>
        <v/>
      </c>
      <c r="S125">
        <f>IF(E125="","",IF(MATCH(E125,$E$2:E125,0)&lt;ROWS($E$2:E125),"Repeat","New"))</f>
        <v/>
      </c>
      <c r="T125" s="34" t="n"/>
    </row>
    <row r="126">
      <c r="A126" s="34" t="n"/>
      <c r="B126" s="45" t="n"/>
      <c r="C126" s="34" t="n"/>
      <c r="D126" s="34" t="n"/>
      <c r="E126" s="47" t="n"/>
      <c r="F126" s="34" t="n"/>
      <c r="G126" s="34" t="n"/>
      <c r="H126" s="34" t="n"/>
      <c r="I126" s="36" t="n"/>
      <c r="J126" s="46">
        <f>IF(G126="","",IFERROR(INDEX(Products!$B$2:$B$101,MATCH(G126,Products!$A$2:$A$101,0)),"Unknown SKU"))</f>
        <v/>
      </c>
      <c r="K126" s="34" t="n"/>
      <c r="L126" s="34" t="n"/>
      <c r="M126" s="36" t="n"/>
      <c r="N126" s="36" t="n"/>
      <c r="O126" s="44">
        <f>IF(OR(H126="",I126=""),"",H126*I126)</f>
        <v/>
      </c>
      <c r="P126" s="44">
        <f>IF(O126="","",O126*IFERROR(INDEX(Settings!$B$8:$B$15,MATCH(C126,Settings!$A$8:$A$15,0)),0))</f>
        <v/>
      </c>
      <c r="Q126" s="44">
        <f>IF(OR(G126="",H126=""),"",H126*IFERROR(INDEX(Products!$J$2:$J$101,MATCH(G126,Products!$A$2:$A$101,0)),0))</f>
        <v/>
      </c>
      <c r="R126" s="44">
        <f>IF(K126="Delivered",N(O126)+N(M126)-N(N126)-N(P126)-N(Q126),IF(OR(K126="Returned",K126="Failed delivery"),-N(N126),""))</f>
        <v/>
      </c>
      <c r="S126">
        <f>IF(E126="","",IF(MATCH(E126,$E$2:E126,0)&lt;ROWS($E$2:E126),"Repeat","New"))</f>
        <v/>
      </c>
      <c r="T126" s="34" t="n"/>
    </row>
    <row r="127">
      <c r="A127" s="34" t="n"/>
      <c r="B127" s="45" t="n"/>
      <c r="C127" s="34" t="n"/>
      <c r="D127" s="34" t="n"/>
      <c r="E127" s="47" t="n"/>
      <c r="F127" s="34" t="n"/>
      <c r="G127" s="34" t="n"/>
      <c r="H127" s="34" t="n"/>
      <c r="I127" s="36" t="n"/>
      <c r="J127" s="46">
        <f>IF(G127="","",IFERROR(INDEX(Products!$B$2:$B$101,MATCH(G127,Products!$A$2:$A$101,0)),"Unknown SKU"))</f>
        <v/>
      </c>
      <c r="K127" s="34" t="n"/>
      <c r="L127" s="34" t="n"/>
      <c r="M127" s="36" t="n"/>
      <c r="N127" s="36" t="n"/>
      <c r="O127" s="44">
        <f>IF(OR(H127="",I127=""),"",H127*I127)</f>
        <v/>
      </c>
      <c r="P127" s="44">
        <f>IF(O127="","",O127*IFERROR(INDEX(Settings!$B$8:$B$15,MATCH(C127,Settings!$A$8:$A$15,0)),0))</f>
        <v/>
      </c>
      <c r="Q127" s="44">
        <f>IF(OR(G127="",H127=""),"",H127*IFERROR(INDEX(Products!$J$2:$J$101,MATCH(G127,Products!$A$2:$A$101,0)),0))</f>
        <v/>
      </c>
      <c r="R127" s="44">
        <f>IF(K127="Delivered",N(O127)+N(M127)-N(N127)-N(P127)-N(Q127),IF(OR(K127="Returned",K127="Failed delivery"),-N(N127),""))</f>
        <v/>
      </c>
      <c r="S127">
        <f>IF(E127="","",IF(MATCH(E127,$E$2:E127,0)&lt;ROWS($E$2:E127),"Repeat","New"))</f>
        <v/>
      </c>
      <c r="T127" s="34" t="n"/>
    </row>
    <row r="128">
      <c r="A128" s="34" t="n"/>
      <c r="B128" s="45" t="n"/>
      <c r="C128" s="34" t="n"/>
      <c r="D128" s="34" t="n"/>
      <c r="E128" s="47" t="n"/>
      <c r="F128" s="34" t="n"/>
      <c r="G128" s="34" t="n"/>
      <c r="H128" s="34" t="n"/>
      <c r="I128" s="36" t="n"/>
      <c r="J128" s="46">
        <f>IF(G128="","",IFERROR(INDEX(Products!$B$2:$B$101,MATCH(G128,Products!$A$2:$A$101,0)),"Unknown SKU"))</f>
        <v/>
      </c>
      <c r="K128" s="34" t="n"/>
      <c r="L128" s="34" t="n"/>
      <c r="M128" s="36" t="n"/>
      <c r="N128" s="36" t="n"/>
      <c r="O128" s="44">
        <f>IF(OR(H128="",I128=""),"",H128*I128)</f>
        <v/>
      </c>
      <c r="P128" s="44">
        <f>IF(O128="","",O128*IFERROR(INDEX(Settings!$B$8:$B$15,MATCH(C128,Settings!$A$8:$A$15,0)),0))</f>
        <v/>
      </c>
      <c r="Q128" s="44">
        <f>IF(OR(G128="",H128=""),"",H128*IFERROR(INDEX(Products!$J$2:$J$101,MATCH(G128,Products!$A$2:$A$101,0)),0))</f>
        <v/>
      </c>
      <c r="R128" s="44">
        <f>IF(K128="Delivered",N(O128)+N(M128)-N(N128)-N(P128)-N(Q128),IF(OR(K128="Returned",K128="Failed delivery"),-N(N128),""))</f>
        <v/>
      </c>
      <c r="S128">
        <f>IF(E128="","",IF(MATCH(E128,$E$2:E128,0)&lt;ROWS($E$2:E128),"Repeat","New"))</f>
        <v/>
      </c>
      <c r="T128" s="34" t="n"/>
    </row>
    <row r="129">
      <c r="A129" s="34" t="n"/>
      <c r="B129" s="45" t="n"/>
      <c r="C129" s="34" t="n"/>
      <c r="D129" s="34" t="n"/>
      <c r="E129" s="47" t="n"/>
      <c r="F129" s="34" t="n"/>
      <c r="G129" s="34" t="n"/>
      <c r="H129" s="34" t="n"/>
      <c r="I129" s="36" t="n"/>
      <c r="J129" s="46">
        <f>IF(G129="","",IFERROR(INDEX(Products!$B$2:$B$101,MATCH(G129,Products!$A$2:$A$101,0)),"Unknown SKU"))</f>
        <v/>
      </c>
      <c r="K129" s="34" t="n"/>
      <c r="L129" s="34" t="n"/>
      <c r="M129" s="36" t="n"/>
      <c r="N129" s="36" t="n"/>
      <c r="O129" s="44">
        <f>IF(OR(H129="",I129=""),"",H129*I129)</f>
        <v/>
      </c>
      <c r="P129" s="44">
        <f>IF(O129="","",O129*IFERROR(INDEX(Settings!$B$8:$B$15,MATCH(C129,Settings!$A$8:$A$15,0)),0))</f>
        <v/>
      </c>
      <c r="Q129" s="44">
        <f>IF(OR(G129="",H129=""),"",H129*IFERROR(INDEX(Products!$J$2:$J$101,MATCH(G129,Products!$A$2:$A$101,0)),0))</f>
        <v/>
      </c>
      <c r="R129" s="44">
        <f>IF(K129="Delivered",N(O129)+N(M129)-N(N129)-N(P129)-N(Q129),IF(OR(K129="Returned",K129="Failed delivery"),-N(N129),""))</f>
        <v/>
      </c>
      <c r="S129">
        <f>IF(E129="","",IF(MATCH(E129,$E$2:E129,0)&lt;ROWS($E$2:E129),"Repeat","New"))</f>
        <v/>
      </c>
      <c r="T129" s="34" t="n"/>
    </row>
    <row r="130">
      <c r="A130" s="34" t="n"/>
      <c r="B130" s="45" t="n"/>
      <c r="C130" s="34" t="n"/>
      <c r="D130" s="34" t="n"/>
      <c r="E130" s="47" t="n"/>
      <c r="F130" s="34" t="n"/>
      <c r="G130" s="34" t="n"/>
      <c r="H130" s="34" t="n"/>
      <c r="I130" s="36" t="n"/>
      <c r="J130" s="46">
        <f>IF(G130="","",IFERROR(INDEX(Products!$B$2:$B$101,MATCH(G130,Products!$A$2:$A$101,0)),"Unknown SKU"))</f>
        <v/>
      </c>
      <c r="K130" s="34" t="n"/>
      <c r="L130" s="34" t="n"/>
      <c r="M130" s="36" t="n"/>
      <c r="N130" s="36" t="n"/>
      <c r="O130" s="44">
        <f>IF(OR(H130="",I130=""),"",H130*I130)</f>
        <v/>
      </c>
      <c r="P130" s="44">
        <f>IF(O130="","",O130*IFERROR(INDEX(Settings!$B$8:$B$15,MATCH(C130,Settings!$A$8:$A$15,0)),0))</f>
        <v/>
      </c>
      <c r="Q130" s="44">
        <f>IF(OR(G130="",H130=""),"",H130*IFERROR(INDEX(Products!$J$2:$J$101,MATCH(G130,Products!$A$2:$A$101,0)),0))</f>
        <v/>
      </c>
      <c r="R130" s="44">
        <f>IF(K130="Delivered",N(O130)+N(M130)-N(N130)-N(P130)-N(Q130),IF(OR(K130="Returned",K130="Failed delivery"),-N(N130),""))</f>
        <v/>
      </c>
      <c r="S130">
        <f>IF(E130="","",IF(MATCH(E130,$E$2:E130,0)&lt;ROWS($E$2:E130),"Repeat","New"))</f>
        <v/>
      </c>
      <c r="T130" s="34" t="n"/>
    </row>
    <row r="131">
      <c r="A131" s="34" t="n"/>
      <c r="B131" s="45" t="n"/>
      <c r="C131" s="34" t="n"/>
      <c r="D131" s="34" t="n"/>
      <c r="E131" s="47" t="n"/>
      <c r="F131" s="34" t="n"/>
      <c r="G131" s="34" t="n"/>
      <c r="H131" s="34" t="n"/>
      <c r="I131" s="36" t="n"/>
      <c r="J131" s="46">
        <f>IF(G131="","",IFERROR(INDEX(Products!$B$2:$B$101,MATCH(G131,Products!$A$2:$A$101,0)),"Unknown SKU"))</f>
        <v/>
      </c>
      <c r="K131" s="34" t="n"/>
      <c r="L131" s="34" t="n"/>
      <c r="M131" s="36" t="n"/>
      <c r="N131" s="36" t="n"/>
      <c r="O131" s="44">
        <f>IF(OR(H131="",I131=""),"",H131*I131)</f>
        <v/>
      </c>
      <c r="P131" s="44">
        <f>IF(O131="","",O131*IFERROR(INDEX(Settings!$B$8:$B$15,MATCH(C131,Settings!$A$8:$A$15,0)),0))</f>
        <v/>
      </c>
      <c r="Q131" s="44">
        <f>IF(OR(G131="",H131=""),"",H131*IFERROR(INDEX(Products!$J$2:$J$101,MATCH(G131,Products!$A$2:$A$101,0)),0))</f>
        <v/>
      </c>
      <c r="R131" s="44">
        <f>IF(K131="Delivered",N(O131)+N(M131)-N(N131)-N(P131)-N(Q131),IF(OR(K131="Returned",K131="Failed delivery"),-N(N131),""))</f>
        <v/>
      </c>
      <c r="S131">
        <f>IF(E131="","",IF(MATCH(E131,$E$2:E131,0)&lt;ROWS($E$2:E131),"Repeat","New"))</f>
        <v/>
      </c>
      <c r="T131" s="34" t="n"/>
    </row>
    <row r="132">
      <c r="A132" s="34" t="n"/>
      <c r="B132" s="45" t="n"/>
      <c r="C132" s="34" t="n"/>
      <c r="D132" s="34" t="n"/>
      <c r="E132" s="47" t="n"/>
      <c r="F132" s="34" t="n"/>
      <c r="G132" s="34" t="n"/>
      <c r="H132" s="34" t="n"/>
      <c r="I132" s="36" t="n"/>
      <c r="J132" s="46">
        <f>IF(G132="","",IFERROR(INDEX(Products!$B$2:$B$101,MATCH(G132,Products!$A$2:$A$101,0)),"Unknown SKU"))</f>
        <v/>
      </c>
      <c r="K132" s="34" t="n"/>
      <c r="L132" s="34" t="n"/>
      <c r="M132" s="36" t="n"/>
      <c r="N132" s="36" t="n"/>
      <c r="O132" s="44">
        <f>IF(OR(H132="",I132=""),"",H132*I132)</f>
        <v/>
      </c>
      <c r="P132" s="44">
        <f>IF(O132="","",O132*IFERROR(INDEX(Settings!$B$8:$B$15,MATCH(C132,Settings!$A$8:$A$15,0)),0))</f>
        <v/>
      </c>
      <c r="Q132" s="44">
        <f>IF(OR(G132="",H132=""),"",H132*IFERROR(INDEX(Products!$J$2:$J$101,MATCH(G132,Products!$A$2:$A$101,0)),0))</f>
        <v/>
      </c>
      <c r="R132" s="44">
        <f>IF(K132="Delivered",N(O132)+N(M132)-N(N132)-N(P132)-N(Q132),IF(OR(K132="Returned",K132="Failed delivery"),-N(N132),""))</f>
        <v/>
      </c>
      <c r="S132">
        <f>IF(E132="","",IF(MATCH(E132,$E$2:E132,0)&lt;ROWS($E$2:E132),"Repeat","New"))</f>
        <v/>
      </c>
      <c r="T132" s="34" t="n"/>
    </row>
    <row r="133">
      <c r="A133" s="34" t="n"/>
      <c r="B133" s="45" t="n"/>
      <c r="C133" s="34" t="n"/>
      <c r="D133" s="34" t="n"/>
      <c r="E133" s="47" t="n"/>
      <c r="F133" s="34" t="n"/>
      <c r="G133" s="34" t="n"/>
      <c r="H133" s="34" t="n"/>
      <c r="I133" s="36" t="n"/>
      <c r="J133" s="46">
        <f>IF(G133="","",IFERROR(INDEX(Products!$B$2:$B$101,MATCH(G133,Products!$A$2:$A$101,0)),"Unknown SKU"))</f>
        <v/>
      </c>
      <c r="K133" s="34" t="n"/>
      <c r="L133" s="34" t="n"/>
      <c r="M133" s="36" t="n"/>
      <c r="N133" s="36" t="n"/>
      <c r="O133" s="44">
        <f>IF(OR(H133="",I133=""),"",H133*I133)</f>
        <v/>
      </c>
      <c r="P133" s="44">
        <f>IF(O133="","",O133*IFERROR(INDEX(Settings!$B$8:$B$15,MATCH(C133,Settings!$A$8:$A$15,0)),0))</f>
        <v/>
      </c>
      <c r="Q133" s="44">
        <f>IF(OR(G133="",H133=""),"",H133*IFERROR(INDEX(Products!$J$2:$J$101,MATCH(G133,Products!$A$2:$A$101,0)),0))</f>
        <v/>
      </c>
      <c r="R133" s="44">
        <f>IF(K133="Delivered",N(O133)+N(M133)-N(N133)-N(P133)-N(Q133),IF(OR(K133="Returned",K133="Failed delivery"),-N(N133),""))</f>
        <v/>
      </c>
      <c r="S133">
        <f>IF(E133="","",IF(MATCH(E133,$E$2:E133,0)&lt;ROWS($E$2:E133),"Repeat","New"))</f>
        <v/>
      </c>
      <c r="T133" s="34" t="n"/>
    </row>
    <row r="134">
      <c r="A134" s="34" t="n"/>
      <c r="B134" s="45" t="n"/>
      <c r="C134" s="34" t="n"/>
      <c r="D134" s="34" t="n"/>
      <c r="E134" s="47" t="n"/>
      <c r="F134" s="34" t="n"/>
      <c r="G134" s="34" t="n"/>
      <c r="H134" s="34" t="n"/>
      <c r="I134" s="36" t="n"/>
      <c r="J134" s="46">
        <f>IF(G134="","",IFERROR(INDEX(Products!$B$2:$B$101,MATCH(G134,Products!$A$2:$A$101,0)),"Unknown SKU"))</f>
        <v/>
      </c>
      <c r="K134" s="34" t="n"/>
      <c r="L134" s="34" t="n"/>
      <c r="M134" s="36" t="n"/>
      <c r="N134" s="36" t="n"/>
      <c r="O134" s="44">
        <f>IF(OR(H134="",I134=""),"",H134*I134)</f>
        <v/>
      </c>
      <c r="P134" s="44">
        <f>IF(O134="","",O134*IFERROR(INDEX(Settings!$B$8:$B$15,MATCH(C134,Settings!$A$8:$A$15,0)),0))</f>
        <v/>
      </c>
      <c r="Q134" s="44">
        <f>IF(OR(G134="",H134=""),"",H134*IFERROR(INDEX(Products!$J$2:$J$101,MATCH(G134,Products!$A$2:$A$101,0)),0))</f>
        <v/>
      </c>
      <c r="R134" s="44">
        <f>IF(K134="Delivered",N(O134)+N(M134)-N(N134)-N(P134)-N(Q134),IF(OR(K134="Returned",K134="Failed delivery"),-N(N134),""))</f>
        <v/>
      </c>
      <c r="S134">
        <f>IF(E134="","",IF(MATCH(E134,$E$2:E134,0)&lt;ROWS($E$2:E134),"Repeat","New"))</f>
        <v/>
      </c>
      <c r="T134" s="34" t="n"/>
    </row>
    <row r="135">
      <c r="A135" s="34" t="n"/>
      <c r="B135" s="45" t="n"/>
      <c r="C135" s="34" t="n"/>
      <c r="D135" s="34" t="n"/>
      <c r="E135" s="47" t="n"/>
      <c r="F135" s="34" t="n"/>
      <c r="G135" s="34" t="n"/>
      <c r="H135" s="34" t="n"/>
      <c r="I135" s="36" t="n"/>
      <c r="J135" s="46">
        <f>IF(G135="","",IFERROR(INDEX(Products!$B$2:$B$101,MATCH(G135,Products!$A$2:$A$101,0)),"Unknown SKU"))</f>
        <v/>
      </c>
      <c r="K135" s="34" t="n"/>
      <c r="L135" s="34" t="n"/>
      <c r="M135" s="36" t="n"/>
      <c r="N135" s="36" t="n"/>
      <c r="O135" s="44">
        <f>IF(OR(H135="",I135=""),"",H135*I135)</f>
        <v/>
      </c>
      <c r="P135" s="44">
        <f>IF(O135="","",O135*IFERROR(INDEX(Settings!$B$8:$B$15,MATCH(C135,Settings!$A$8:$A$15,0)),0))</f>
        <v/>
      </c>
      <c r="Q135" s="44">
        <f>IF(OR(G135="",H135=""),"",H135*IFERROR(INDEX(Products!$J$2:$J$101,MATCH(G135,Products!$A$2:$A$101,0)),0))</f>
        <v/>
      </c>
      <c r="R135" s="44">
        <f>IF(K135="Delivered",N(O135)+N(M135)-N(N135)-N(P135)-N(Q135),IF(OR(K135="Returned",K135="Failed delivery"),-N(N135),""))</f>
        <v/>
      </c>
      <c r="S135">
        <f>IF(E135="","",IF(MATCH(E135,$E$2:E135,0)&lt;ROWS($E$2:E135),"Repeat","New"))</f>
        <v/>
      </c>
      <c r="T135" s="34" t="n"/>
    </row>
    <row r="136">
      <c r="A136" s="34" t="n"/>
      <c r="B136" s="45" t="n"/>
      <c r="C136" s="34" t="n"/>
      <c r="D136" s="34" t="n"/>
      <c r="E136" s="47" t="n"/>
      <c r="F136" s="34" t="n"/>
      <c r="G136" s="34" t="n"/>
      <c r="H136" s="34" t="n"/>
      <c r="I136" s="36" t="n"/>
      <c r="J136" s="46">
        <f>IF(G136="","",IFERROR(INDEX(Products!$B$2:$B$101,MATCH(G136,Products!$A$2:$A$101,0)),"Unknown SKU"))</f>
        <v/>
      </c>
      <c r="K136" s="34" t="n"/>
      <c r="L136" s="34" t="n"/>
      <c r="M136" s="36" t="n"/>
      <c r="N136" s="36" t="n"/>
      <c r="O136" s="44">
        <f>IF(OR(H136="",I136=""),"",H136*I136)</f>
        <v/>
      </c>
      <c r="P136" s="44">
        <f>IF(O136="","",O136*IFERROR(INDEX(Settings!$B$8:$B$15,MATCH(C136,Settings!$A$8:$A$15,0)),0))</f>
        <v/>
      </c>
      <c r="Q136" s="44">
        <f>IF(OR(G136="",H136=""),"",H136*IFERROR(INDEX(Products!$J$2:$J$101,MATCH(G136,Products!$A$2:$A$101,0)),0))</f>
        <v/>
      </c>
      <c r="R136" s="44">
        <f>IF(K136="Delivered",N(O136)+N(M136)-N(N136)-N(P136)-N(Q136),IF(OR(K136="Returned",K136="Failed delivery"),-N(N136),""))</f>
        <v/>
      </c>
      <c r="S136">
        <f>IF(E136="","",IF(MATCH(E136,$E$2:E136,0)&lt;ROWS($E$2:E136),"Repeat","New"))</f>
        <v/>
      </c>
      <c r="T136" s="34" t="n"/>
    </row>
    <row r="137">
      <c r="A137" s="34" t="n"/>
      <c r="B137" s="45" t="n"/>
      <c r="C137" s="34" t="n"/>
      <c r="D137" s="34" t="n"/>
      <c r="E137" s="47" t="n"/>
      <c r="F137" s="34" t="n"/>
      <c r="G137" s="34" t="n"/>
      <c r="H137" s="34" t="n"/>
      <c r="I137" s="36" t="n"/>
      <c r="J137" s="46">
        <f>IF(G137="","",IFERROR(INDEX(Products!$B$2:$B$101,MATCH(G137,Products!$A$2:$A$101,0)),"Unknown SKU"))</f>
        <v/>
      </c>
      <c r="K137" s="34" t="n"/>
      <c r="L137" s="34" t="n"/>
      <c r="M137" s="36" t="n"/>
      <c r="N137" s="36" t="n"/>
      <c r="O137" s="44">
        <f>IF(OR(H137="",I137=""),"",H137*I137)</f>
        <v/>
      </c>
      <c r="P137" s="44">
        <f>IF(O137="","",O137*IFERROR(INDEX(Settings!$B$8:$B$15,MATCH(C137,Settings!$A$8:$A$15,0)),0))</f>
        <v/>
      </c>
      <c r="Q137" s="44">
        <f>IF(OR(G137="",H137=""),"",H137*IFERROR(INDEX(Products!$J$2:$J$101,MATCH(G137,Products!$A$2:$A$101,0)),0))</f>
        <v/>
      </c>
      <c r="R137" s="44">
        <f>IF(K137="Delivered",N(O137)+N(M137)-N(N137)-N(P137)-N(Q137),IF(OR(K137="Returned",K137="Failed delivery"),-N(N137),""))</f>
        <v/>
      </c>
      <c r="S137">
        <f>IF(E137="","",IF(MATCH(E137,$E$2:E137,0)&lt;ROWS($E$2:E137),"Repeat","New"))</f>
        <v/>
      </c>
      <c r="T137" s="34" t="n"/>
    </row>
    <row r="138">
      <c r="A138" s="34" t="n"/>
      <c r="B138" s="45" t="n"/>
      <c r="C138" s="34" t="n"/>
      <c r="D138" s="34" t="n"/>
      <c r="E138" s="47" t="n"/>
      <c r="F138" s="34" t="n"/>
      <c r="G138" s="34" t="n"/>
      <c r="H138" s="34" t="n"/>
      <c r="I138" s="36" t="n"/>
      <c r="J138" s="46">
        <f>IF(G138="","",IFERROR(INDEX(Products!$B$2:$B$101,MATCH(G138,Products!$A$2:$A$101,0)),"Unknown SKU"))</f>
        <v/>
      </c>
      <c r="K138" s="34" t="n"/>
      <c r="L138" s="34" t="n"/>
      <c r="M138" s="36" t="n"/>
      <c r="N138" s="36" t="n"/>
      <c r="O138" s="44">
        <f>IF(OR(H138="",I138=""),"",H138*I138)</f>
        <v/>
      </c>
      <c r="P138" s="44">
        <f>IF(O138="","",O138*IFERROR(INDEX(Settings!$B$8:$B$15,MATCH(C138,Settings!$A$8:$A$15,0)),0))</f>
        <v/>
      </c>
      <c r="Q138" s="44">
        <f>IF(OR(G138="",H138=""),"",H138*IFERROR(INDEX(Products!$J$2:$J$101,MATCH(G138,Products!$A$2:$A$101,0)),0))</f>
        <v/>
      </c>
      <c r="R138" s="44">
        <f>IF(K138="Delivered",N(O138)+N(M138)-N(N138)-N(P138)-N(Q138),IF(OR(K138="Returned",K138="Failed delivery"),-N(N138),""))</f>
        <v/>
      </c>
      <c r="S138">
        <f>IF(E138="","",IF(MATCH(E138,$E$2:E138,0)&lt;ROWS($E$2:E138),"Repeat","New"))</f>
        <v/>
      </c>
      <c r="T138" s="34" t="n"/>
    </row>
    <row r="139">
      <c r="A139" s="34" t="n"/>
      <c r="B139" s="45" t="n"/>
      <c r="C139" s="34" t="n"/>
      <c r="D139" s="34" t="n"/>
      <c r="E139" s="47" t="n"/>
      <c r="F139" s="34" t="n"/>
      <c r="G139" s="34" t="n"/>
      <c r="H139" s="34" t="n"/>
      <c r="I139" s="36" t="n"/>
      <c r="J139" s="46">
        <f>IF(G139="","",IFERROR(INDEX(Products!$B$2:$B$101,MATCH(G139,Products!$A$2:$A$101,0)),"Unknown SKU"))</f>
        <v/>
      </c>
      <c r="K139" s="34" t="n"/>
      <c r="L139" s="34" t="n"/>
      <c r="M139" s="36" t="n"/>
      <c r="N139" s="36" t="n"/>
      <c r="O139" s="44">
        <f>IF(OR(H139="",I139=""),"",H139*I139)</f>
        <v/>
      </c>
      <c r="P139" s="44">
        <f>IF(O139="","",O139*IFERROR(INDEX(Settings!$B$8:$B$15,MATCH(C139,Settings!$A$8:$A$15,0)),0))</f>
        <v/>
      </c>
      <c r="Q139" s="44">
        <f>IF(OR(G139="",H139=""),"",H139*IFERROR(INDEX(Products!$J$2:$J$101,MATCH(G139,Products!$A$2:$A$101,0)),0))</f>
        <v/>
      </c>
      <c r="R139" s="44">
        <f>IF(K139="Delivered",N(O139)+N(M139)-N(N139)-N(P139)-N(Q139),IF(OR(K139="Returned",K139="Failed delivery"),-N(N139),""))</f>
        <v/>
      </c>
      <c r="S139">
        <f>IF(E139="","",IF(MATCH(E139,$E$2:E139,0)&lt;ROWS($E$2:E139),"Repeat","New"))</f>
        <v/>
      </c>
      <c r="T139" s="34" t="n"/>
    </row>
    <row r="140">
      <c r="A140" s="34" t="n"/>
      <c r="B140" s="45" t="n"/>
      <c r="C140" s="34" t="n"/>
      <c r="D140" s="34" t="n"/>
      <c r="E140" s="47" t="n"/>
      <c r="F140" s="34" t="n"/>
      <c r="G140" s="34" t="n"/>
      <c r="H140" s="34" t="n"/>
      <c r="I140" s="36" t="n"/>
      <c r="J140" s="46">
        <f>IF(G140="","",IFERROR(INDEX(Products!$B$2:$B$101,MATCH(G140,Products!$A$2:$A$101,0)),"Unknown SKU"))</f>
        <v/>
      </c>
      <c r="K140" s="34" t="n"/>
      <c r="L140" s="34" t="n"/>
      <c r="M140" s="36" t="n"/>
      <c r="N140" s="36" t="n"/>
      <c r="O140" s="44">
        <f>IF(OR(H140="",I140=""),"",H140*I140)</f>
        <v/>
      </c>
      <c r="P140" s="44">
        <f>IF(O140="","",O140*IFERROR(INDEX(Settings!$B$8:$B$15,MATCH(C140,Settings!$A$8:$A$15,0)),0))</f>
        <v/>
      </c>
      <c r="Q140" s="44">
        <f>IF(OR(G140="",H140=""),"",H140*IFERROR(INDEX(Products!$J$2:$J$101,MATCH(G140,Products!$A$2:$A$101,0)),0))</f>
        <v/>
      </c>
      <c r="R140" s="44">
        <f>IF(K140="Delivered",N(O140)+N(M140)-N(N140)-N(P140)-N(Q140),IF(OR(K140="Returned",K140="Failed delivery"),-N(N140),""))</f>
        <v/>
      </c>
      <c r="S140">
        <f>IF(E140="","",IF(MATCH(E140,$E$2:E140,0)&lt;ROWS($E$2:E140),"Repeat","New"))</f>
        <v/>
      </c>
      <c r="T140" s="34" t="n"/>
    </row>
    <row r="141">
      <c r="A141" s="34" t="n"/>
      <c r="B141" s="45" t="n"/>
      <c r="C141" s="34" t="n"/>
      <c r="D141" s="34" t="n"/>
      <c r="E141" s="47" t="n"/>
      <c r="F141" s="34" t="n"/>
      <c r="G141" s="34" t="n"/>
      <c r="H141" s="34" t="n"/>
      <c r="I141" s="36" t="n"/>
      <c r="J141" s="46">
        <f>IF(G141="","",IFERROR(INDEX(Products!$B$2:$B$101,MATCH(G141,Products!$A$2:$A$101,0)),"Unknown SKU"))</f>
        <v/>
      </c>
      <c r="K141" s="34" t="n"/>
      <c r="L141" s="34" t="n"/>
      <c r="M141" s="36" t="n"/>
      <c r="N141" s="36" t="n"/>
      <c r="O141" s="44">
        <f>IF(OR(H141="",I141=""),"",H141*I141)</f>
        <v/>
      </c>
      <c r="P141" s="44">
        <f>IF(O141="","",O141*IFERROR(INDEX(Settings!$B$8:$B$15,MATCH(C141,Settings!$A$8:$A$15,0)),0))</f>
        <v/>
      </c>
      <c r="Q141" s="44">
        <f>IF(OR(G141="",H141=""),"",H141*IFERROR(INDEX(Products!$J$2:$J$101,MATCH(G141,Products!$A$2:$A$101,0)),0))</f>
        <v/>
      </c>
      <c r="R141" s="44">
        <f>IF(K141="Delivered",N(O141)+N(M141)-N(N141)-N(P141)-N(Q141),IF(OR(K141="Returned",K141="Failed delivery"),-N(N141),""))</f>
        <v/>
      </c>
      <c r="S141">
        <f>IF(E141="","",IF(MATCH(E141,$E$2:E141,0)&lt;ROWS($E$2:E141),"Repeat","New"))</f>
        <v/>
      </c>
      <c r="T141" s="34" t="n"/>
    </row>
    <row r="142">
      <c r="A142" s="34" t="n"/>
      <c r="B142" s="45" t="n"/>
      <c r="C142" s="34" t="n"/>
      <c r="D142" s="34" t="n"/>
      <c r="E142" s="47" t="n"/>
      <c r="F142" s="34" t="n"/>
      <c r="G142" s="34" t="n"/>
      <c r="H142" s="34" t="n"/>
      <c r="I142" s="36" t="n"/>
      <c r="J142" s="46">
        <f>IF(G142="","",IFERROR(INDEX(Products!$B$2:$B$101,MATCH(G142,Products!$A$2:$A$101,0)),"Unknown SKU"))</f>
        <v/>
      </c>
      <c r="K142" s="34" t="n"/>
      <c r="L142" s="34" t="n"/>
      <c r="M142" s="36" t="n"/>
      <c r="N142" s="36" t="n"/>
      <c r="O142" s="44">
        <f>IF(OR(H142="",I142=""),"",H142*I142)</f>
        <v/>
      </c>
      <c r="P142" s="44">
        <f>IF(O142="","",O142*IFERROR(INDEX(Settings!$B$8:$B$15,MATCH(C142,Settings!$A$8:$A$15,0)),0))</f>
        <v/>
      </c>
      <c r="Q142" s="44">
        <f>IF(OR(G142="",H142=""),"",H142*IFERROR(INDEX(Products!$J$2:$J$101,MATCH(G142,Products!$A$2:$A$101,0)),0))</f>
        <v/>
      </c>
      <c r="R142" s="44">
        <f>IF(K142="Delivered",N(O142)+N(M142)-N(N142)-N(P142)-N(Q142),IF(OR(K142="Returned",K142="Failed delivery"),-N(N142),""))</f>
        <v/>
      </c>
      <c r="S142">
        <f>IF(E142="","",IF(MATCH(E142,$E$2:E142,0)&lt;ROWS($E$2:E142),"Repeat","New"))</f>
        <v/>
      </c>
      <c r="T142" s="34" t="n"/>
    </row>
    <row r="143">
      <c r="A143" s="34" t="n"/>
      <c r="B143" s="45" t="n"/>
      <c r="C143" s="34" t="n"/>
      <c r="D143" s="34" t="n"/>
      <c r="E143" s="47" t="n"/>
      <c r="F143" s="34" t="n"/>
      <c r="G143" s="34" t="n"/>
      <c r="H143" s="34" t="n"/>
      <c r="I143" s="36" t="n"/>
      <c r="J143" s="46">
        <f>IF(G143="","",IFERROR(INDEX(Products!$B$2:$B$101,MATCH(G143,Products!$A$2:$A$101,0)),"Unknown SKU"))</f>
        <v/>
      </c>
      <c r="K143" s="34" t="n"/>
      <c r="L143" s="34" t="n"/>
      <c r="M143" s="36" t="n"/>
      <c r="N143" s="36" t="n"/>
      <c r="O143" s="44">
        <f>IF(OR(H143="",I143=""),"",H143*I143)</f>
        <v/>
      </c>
      <c r="P143" s="44">
        <f>IF(O143="","",O143*IFERROR(INDEX(Settings!$B$8:$B$15,MATCH(C143,Settings!$A$8:$A$15,0)),0))</f>
        <v/>
      </c>
      <c r="Q143" s="44">
        <f>IF(OR(G143="",H143=""),"",H143*IFERROR(INDEX(Products!$J$2:$J$101,MATCH(G143,Products!$A$2:$A$101,0)),0))</f>
        <v/>
      </c>
      <c r="R143" s="44">
        <f>IF(K143="Delivered",N(O143)+N(M143)-N(N143)-N(P143)-N(Q143),IF(OR(K143="Returned",K143="Failed delivery"),-N(N143),""))</f>
        <v/>
      </c>
      <c r="S143">
        <f>IF(E143="","",IF(MATCH(E143,$E$2:E143,0)&lt;ROWS($E$2:E143),"Repeat","New"))</f>
        <v/>
      </c>
      <c r="T143" s="34" t="n"/>
    </row>
    <row r="144">
      <c r="A144" s="34" t="n"/>
      <c r="B144" s="45" t="n"/>
      <c r="C144" s="34" t="n"/>
      <c r="D144" s="34" t="n"/>
      <c r="E144" s="47" t="n"/>
      <c r="F144" s="34" t="n"/>
      <c r="G144" s="34" t="n"/>
      <c r="H144" s="34" t="n"/>
      <c r="I144" s="36" t="n"/>
      <c r="J144" s="46">
        <f>IF(G144="","",IFERROR(INDEX(Products!$B$2:$B$101,MATCH(G144,Products!$A$2:$A$101,0)),"Unknown SKU"))</f>
        <v/>
      </c>
      <c r="K144" s="34" t="n"/>
      <c r="L144" s="34" t="n"/>
      <c r="M144" s="36" t="n"/>
      <c r="N144" s="36" t="n"/>
      <c r="O144" s="44">
        <f>IF(OR(H144="",I144=""),"",H144*I144)</f>
        <v/>
      </c>
      <c r="P144" s="44">
        <f>IF(O144="","",O144*IFERROR(INDEX(Settings!$B$8:$B$15,MATCH(C144,Settings!$A$8:$A$15,0)),0))</f>
        <v/>
      </c>
      <c r="Q144" s="44">
        <f>IF(OR(G144="",H144=""),"",H144*IFERROR(INDEX(Products!$J$2:$J$101,MATCH(G144,Products!$A$2:$A$101,0)),0))</f>
        <v/>
      </c>
      <c r="R144" s="44">
        <f>IF(K144="Delivered",N(O144)+N(M144)-N(N144)-N(P144)-N(Q144),IF(OR(K144="Returned",K144="Failed delivery"),-N(N144),""))</f>
        <v/>
      </c>
      <c r="S144">
        <f>IF(E144="","",IF(MATCH(E144,$E$2:E144,0)&lt;ROWS($E$2:E144),"Repeat","New"))</f>
        <v/>
      </c>
      <c r="T144" s="34" t="n"/>
    </row>
    <row r="145">
      <c r="A145" s="34" t="n"/>
      <c r="B145" s="45" t="n"/>
      <c r="C145" s="34" t="n"/>
      <c r="D145" s="34" t="n"/>
      <c r="E145" s="47" t="n"/>
      <c r="F145" s="34" t="n"/>
      <c r="G145" s="34" t="n"/>
      <c r="H145" s="34" t="n"/>
      <c r="I145" s="36" t="n"/>
      <c r="J145" s="46">
        <f>IF(G145="","",IFERROR(INDEX(Products!$B$2:$B$101,MATCH(G145,Products!$A$2:$A$101,0)),"Unknown SKU"))</f>
        <v/>
      </c>
      <c r="K145" s="34" t="n"/>
      <c r="L145" s="34" t="n"/>
      <c r="M145" s="36" t="n"/>
      <c r="N145" s="36" t="n"/>
      <c r="O145" s="44">
        <f>IF(OR(H145="",I145=""),"",H145*I145)</f>
        <v/>
      </c>
      <c r="P145" s="44">
        <f>IF(O145="","",O145*IFERROR(INDEX(Settings!$B$8:$B$15,MATCH(C145,Settings!$A$8:$A$15,0)),0))</f>
        <v/>
      </c>
      <c r="Q145" s="44">
        <f>IF(OR(G145="",H145=""),"",H145*IFERROR(INDEX(Products!$J$2:$J$101,MATCH(G145,Products!$A$2:$A$101,0)),0))</f>
        <v/>
      </c>
      <c r="R145" s="44">
        <f>IF(K145="Delivered",N(O145)+N(M145)-N(N145)-N(P145)-N(Q145),IF(OR(K145="Returned",K145="Failed delivery"),-N(N145),""))</f>
        <v/>
      </c>
      <c r="S145">
        <f>IF(E145="","",IF(MATCH(E145,$E$2:E145,0)&lt;ROWS($E$2:E145),"Repeat","New"))</f>
        <v/>
      </c>
      <c r="T145" s="34" t="n"/>
    </row>
    <row r="146">
      <c r="A146" s="34" t="n"/>
      <c r="B146" s="45" t="n"/>
      <c r="C146" s="34" t="n"/>
      <c r="D146" s="34" t="n"/>
      <c r="E146" s="47" t="n"/>
      <c r="F146" s="34" t="n"/>
      <c r="G146" s="34" t="n"/>
      <c r="H146" s="34" t="n"/>
      <c r="I146" s="36" t="n"/>
      <c r="J146" s="46">
        <f>IF(G146="","",IFERROR(INDEX(Products!$B$2:$B$101,MATCH(G146,Products!$A$2:$A$101,0)),"Unknown SKU"))</f>
        <v/>
      </c>
      <c r="K146" s="34" t="n"/>
      <c r="L146" s="34" t="n"/>
      <c r="M146" s="36" t="n"/>
      <c r="N146" s="36" t="n"/>
      <c r="O146" s="44">
        <f>IF(OR(H146="",I146=""),"",H146*I146)</f>
        <v/>
      </c>
      <c r="P146" s="44">
        <f>IF(O146="","",O146*IFERROR(INDEX(Settings!$B$8:$B$15,MATCH(C146,Settings!$A$8:$A$15,0)),0))</f>
        <v/>
      </c>
      <c r="Q146" s="44">
        <f>IF(OR(G146="",H146=""),"",H146*IFERROR(INDEX(Products!$J$2:$J$101,MATCH(G146,Products!$A$2:$A$101,0)),0))</f>
        <v/>
      </c>
      <c r="R146" s="44">
        <f>IF(K146="Delivered",N(O146)+N(M146)-N(N146)-N(P146)-N(Q146),IF(OR(K146="Returned",K146="Failed delivery"),-N(N146),""))</f>
        <v/>
      </c>
      <c r="S146">
        <f>IF(E146="","",IF(MATCH(E146,$E$2:E146,0)&lt;ROWS($E$2:E146),"Repeat","New"))</f>
        <v/>
      </c>
      <c r="T146" s="34" t="n"/>
    </row>
    <row r="147">
      <c r="A147" s="34" t="n"/>
      <c r="B147" s="45" t="n"/>
      <c r="C147" s="34" t="n"/>
      <c r="D147" s="34" t="n"/>
      <c r="E147" s="47" t="n"/>
      <c r="F147" s="34" t="n"/>
      <c r="G147" s="34" t="n"/>
      <c r="H147" s="34" t="n"/>
      <c r="I147" s="36" t="n"/>
      <c r="J147" s="46">
        <f>IF(G147="","",IFERROR(INDEX(Products!$B$2:$B$101,MATCH(G147,Products!$A$2:$A$101,0)),"Unknown SKU"))</f>
        <v/>
      </c>
      <c r="K147" s="34" t="n"/>
      <c r="L147" s="34" t="n"/>
      <c r="M147" s="36" t="n"/>
      <c r="N147" s="36" t="n"/>
      <c r="O147" s="44">
        <f>IF(OR(H147="",I147=""),"",H147*I147)</f>
        <v/>
      </c>
      <c r="P147" s="44">
        <f>IF(O147="","",O147*IFERROR(INDEX(Settings!$B$8:$B$15,MATCH(C147,Settings!$A$8:$A$15,0)),0))</f>
        <v/>
      </c>
      <c r="Q147" s="44">
        <f>IF(OR(G147="",H147=""),"",H147*IFERROR(INDEX(Products!$J$2:$J$101,MATCH(G147,Products!$A$2:$A$101,0)),0))</f>
        <v/>
      </c>
      <c r="R147" s="44">
        <f>IF(K147="Delivered",N(O147)+N(M147)-N(N147)-N(P147)-N(Q147),IF(OR(K147="Returned",K147="Failed delivery"),-N(N147),""))</f>
        <v/>
      </c>
      <c r="S147">
        <f>IF(E147="","",IF(MATCH(E147,$E$2:E147,0)&lt;ROWS($E$2:E147),"Repeat","New"))</f>
        <v/>
      </c>
      <c r="T147" s="34" t="n"/>
    </row>
    <row r="148">
      <c r="A148" s="34" t="n"/>
      <c r="B148" s="45" t="n"/>
      <c r="C148" s="34" t="n"/>
      <c r="D148" s="34" t="n"/>
      <c r="E148" s="47" t="n"/>
      <c r="F148" s="34" t="n"/>
      <c r="G148" s="34" t="n"/>
      <c r="H148" s="34" t="n"/>
      <c r="I148" s="36" t="n"/>
      <c r="J148" s="46">
        <f>IF(G148="","",IFERROR(INDEX(Products!$B$2:$B$101,MATCH(G148,Products!$A$2:$A$101,0)),"Unknown SKU"))</f>
        <v/>
      </c>
      <c r="K148" s="34" t="n"/>
      <c r="L148" s="34" t="n"/>
      <c r="M148" s="36" t="n"/>
      <c r="N148" s="36" t="n"/>
      <c r="O148" s="44">
        <f>IF(OR(H148="",I148=""),"",H148*I148)</f>
        <v/>
      </c>
      <c r="P148" s="44">
        <f>IF(O148="","",O148*IFERROR(INDEX(Settings!$B$8:$B$15,MATCH(C148,Settings!$A$8:$A$15,0)),0))</f>
        <v/>
      </c>
      <c r="Q148" s="44">
        <f>IF(OR(G148="",H148=""),"",H148*IFERROR(INDEX(Products!$J$2:$J$101,MATCH(G148,Products!$A$2:$A$101,0)),0))</f>
        <v/>
      </c>
      <c r="R148" s="44">
        <f>IF(K148="Delivered",N(O148)+N(M148)-N(N148)-N(P148)-N(Q148),IF(OR(K148="Returned",K148="Failed delivery"),-N(N148),""))</f>
        <v/>
      </c>
      <c r="S148">
        <f>IF(E148="","",IF(MATCH(E148,$E$2:E148,0)&lt;ROWS($E$2:E148),"Repeat","New"))</f>
        <v/>
      </c>
      <c r="T148" s="34" t="n"/>
    </row>
    <row r="149">
      <c r="A149" s="34" t="n"/>
      <c r="B149" s="45" t="n"/>
      <c r="C149" s="34" t="n"/>
      <c r="D149" s="34" t="n"/>
      <c r="E149" s="47" t="n"/>
      <c r="F149" s="34" t="n"/>
      <c r="G149" s="34" t="n"/>
      <c r="H149" s="34" t="n"/>
      <c r="I149" s="36" t="n"/>
      <c r="J149" s="46">
        <f>IF(G149="","",IFERROR(INDEX(Products!$B$2:$B$101,MATCH(G149,Products!$A$2:$A$101,0)),"Unknown SKU"))</f>
        <v/>
      </c>
      <c r="K149" s="34" t="n"/>
      <c r="L149" s="34" t="n"/>
      <c r="M149" s="36" t="n"/>
      <c r="N149" s="36" t="n"/>
      <c r="O149" s="44">
        <f>IF(OR(H149="",I149=""),"",H149*I149)</f>
        <v/>
      </c>
      <c r="P149" s="44">
        <f>IF(O149="","",O149*IFERROR(INDEX(Settings!$B$8:$B$15,MATCH(C149,Settings!$A$8:$A$15,0)),0))</f>
        <v/>
      </c>
      <c r="Q149" s="44">
        <f>IF(OR(G149="",H149=""),"",H149*IFERROR(INDEX(Products!$J$2:$J$101,MATCH(G149,Products!$A$2:$A$101,0)),0))</f>
        <v/>
      </c>
      <c r="R149" s="44">
        <f>IF(K149="Delivered",N(O149)+N(M149)-N(N149)-N(P149)-N(Q149),IF(OR(K149="Returned",K149="Failed delivery"),-N(N149),""))</f>
        <v/>
      </c>
      <c r="S149">
        <f>IF(E149="","",IF(MATCH(E149,$E$2:E149,0)&lt;ROWS($E$2:E149),"Repeat","New"))</f>
        <v/>
      </c>
      <c r="T149" s="34" t="n"/>
    </row>
    <row r="150">
      <c r="A150" s="34" t="n"/>
      <c r="B150" s="45" t="n"/>
      <c r="C150" s="34" t="n"/>
      <c r="D150" s="34" t="n"/>
      <c r="E150" s="47" t="n"/>
      <c r="F150" s="34" t="n"/>
      <c r="G150" s="34" t="n"/>
      <c r="H150" s="34" t="n"/>
      <c r="I150" s="36" t="n"/>
      <c r="J150" s="46">
        <f>IF(G150="","",IFERROR(INDEX(Products!$B$2:$B$101,MATCH(G150,Products!$A$2:$A$101,0)),"Unknown SKU"))</f>
        <v/>
      </c>
      <c r="K150" s="34" t="n"/>
      <c r="L150" s="34" t="n"/>
      <c r="M150" s="36" t="n"/>
      <c r="N150" s="36" t="n"/>
      <c r="O150" s="44">
        <f>IF(OR(H150="",I150=""),"",H150*I150)</f>
        <v/>
      </c>
      <c r="P150" s="44">
        <f>IF(O150="","",O150*IFERROR(INDEX(Settings!$B$8:$B$15,MATCH(C150,Settings!$A$8:$A$15,0)),0))</f>
        <v/>
      </c>
      <c r="Q150" s="44">
        <f>IF(OR(G150="",H150=""),"",H150*IFERROR(INDEX(Products!$J$2:$J$101,MATCH(G150,Products!$A$2:$A$101,0)),0))</f>
        <v/>
      </c>
      <c r="R150" s="44">
        <f>IF(K150="Delivered",N(O150)+N(M150)-N(N150)-N(P150)-N(Q150),IF(OR(K150="Returned",K150="Failed delivery"),-N(N150),""))</f>
        <v/>
      </c>
      <c r="S150">
        <f>IF(E150="","",IF(MATCH(E150,$E$2:E150,0)&lt;ROWS($E$2:E150),"Repeat","New"))</f>
        <v/>
      </c>
      <c r="T150" s="34" t="n"/>
    </row>
    <row r="151">
      <c r="A151" s="34" t="n"/>
      <c r="B151" s="45" t="n"/>
      <c r="C151" s="34" t="n"/>
      <c r="D151" s="34" t="n"/>
      <c r="E151" s="47" t="n"/>
      <c r="F151" s="34" t="n"/>
      <c r="G151" s="34" t="n"/>
      <c r="H151" s="34" t="n"/>
      <c r="I151" s="36" t="n"/>
      <c r="J151" s="46">
        <f>IF(G151="","",IFERROR(INDEX(Products!$B$2:$B$101,MATCH(G151,Products!$A$2:$A$101,0)),"Unknown SKU"))</f>
        <v/>
      </c>
      <c r="K151" s="34" t="n"/>
      <c r="L151" s="34" t="n"/>
      <c r="M151" s="36" t="n"/>
      <c r="N151" s="36" t="n"/>
      <c r="O151" s="44">
        <f>IF(OR(H151="",I151=""),"",H151*I151)</f>
        <v/>
      </c>
      <c r="P151" s="44">
        <f>IF(O151="","",O151*IFERROR(INDEX(Settings!$B$8:$B$15,MATCH(C151,Settings!$A$8:$A$15,0)),0))</f>
        <v/>
      </c>
      <c r="Q151" s="44">
        <f>IF(OR(G151="",H151=""),"",H151*IFERROR(INDEX(Products!$J$2:$J$101,MATCH(G151,Products!$A$2:$A$101,0)),0))</f>
        <v/>
      </c>
      <c r="R151" s="44">
        <f>IF(K151="Delivered",N(O151)+N(M151)-N(N151)-N(P151)-N(Q151),IF(OR(K151="Returned",K151="Failed delivery"),-N(N151),""))</f>
        <v/>
      </c>
      <c r="S151">
        <f>IF(E151="","",IF(MATCH(E151,$E$2:E151,0)&lt;ROWS($E$2:E151),"Repeat","New"))</f>
        <v/>
      </c>
      <c r="T151" s="34" t="n"/>
    </row>
    <row r="152">
      <c r="A152" s="34" t="n"/>
      <c r="B152" s="45" t="n"/>
      <c r="C152" s="34" t="n"/>
      <c r="D152" s="34" t="n"/>
      <c r="E152" s="47" t="n"/>
      <c r="F152" s="34" t="n"/>
      <c r="G152" s="34" t="n"/>
      <c r="H152" s="34" t="n"/>
      <c r="I152" s="36" t="n"/>
      <c r="J152" s="46">
        <f>IF(G152="","",IFERROR(INDEX(Products!$B$2:$B$101,MATCH(G152,Products!$A$2:$A$101,0)),"Unknown SKU"))</f>
        <v/>
      </c>
      <c r="K152" s="34" t="n"/>
      <c r="L152" s="34" t="n"/>
      <c r="M152" s="36" t="n"/>
      <c r="N152" s="36" t="n"/>
      <c r="O152" s="44">
        <f>IF(OR(H152="",I152=""),"",H152*I152)</f>
        <v/>
      </c>
      <c r="P152" s="44">
        <f>IF(O152="","",O152*IFERROR(INDEX(Settings!$B$8:$B$15,MATCH(C152,Settings!$A$8:$A$15,0)),0))</f>
        <v/>
      </c>
      <c r="Q152" s="44">
        <f>IF(OR(G152="",H152=""),"",H152*IFERROR(INDEX(Products!$J$2:$J$101,MATCH(G152,Products!$A$2:$A$101,0)),0))</f>
        <v/>
      </c>
      <c r="R152" s="44">
        <f>IF(K152="Delivered",N(O152)+N(M152)-N(N152)-N(P152)-N(Q152),IF(OR(K152="Returned",K152="Failed delivery"),-N(N152),""))</f>
        <v/>
      </c>
      <c r="S152">
        <f>IF(E152="","",IF(MATCH(E152,$E$2:E152,0)&lt;ROWS($E$2:E152),"Repeat","New"))</f>
        <v/>
      </c>
      <c r="T152" s="34" t="n"/>
    </row>
    <row r="153">
      <c r="A153" s="34" t="n"/>
      <c r="B153" s="45" t="n"/>
      <c r="C153" s="34" t="n"/>
      <c r="D153" s="34" t="n"/>
      <c r="E153" s="47" t="n"/>
      <c r="F153" s="34" t="n"/>
      <c r="G153" s="34" t="n"/>
      <c r="H153" s="34" t="n"/>
      <c r="I153" s="36" t="n"/>
      <c r="J153" s="46">
        <f>IF(G153="","",IFERROR(INDEX(Products!$B$2:$B$101,MATCH(G153,Products!$A$2:$A$101,0)),"Unknown SKU"))</f>
        <v/>
      </c>
      <c r="K153" s="34" t="n"/>
      <c r="L153" s="34" t="n"/>
      <c r="M153" s="36" t="n"/>
      <c r="N153" s="36" t="n"/>
      <c r="O153" s="44">
        <f>IF(OR(H153="",I153=""),"",H153*I153)</f>
        <v/>
      </c>
      <c r="P153" s="44">
        <f>IF(O153="","",O153*IFERROR(INDEX(Settings!$B$8:$B$15,MATCH(C153,Settings!$A$8:$A$15,0)),0))</f>
        <v/>
      </c>
      <c r="Q153" s="44">
        <f>IF(OR(G153="",H153=""),"",H153*IFERROR(INDEX(Products!$J$2:$J$101,MATCH(G153,Products!$A$2:$A$101,0)),0))</f>
        <v/>
      </c>
      <c r="R153" s="44">
        <f>IF(K153="Delivered",N(O153)+N(M153)-N(N153)-N(P153)-N(Q153),IF(OR(K153="Returned",K153="Failed delivery"),-N(N153),""))</f>
        <v/>
      </c>
      <c r="S153">
        <f>IF(E153="","",IF(MATCH(E153,$E$2:E153,0)&lt;ROWS($E$2:E153),"Repeat","New"))</f>
        <v/>
      </c>
      <c r="T153" s="34" t="n"/>
    </row>
    <row r="154">
      <c r="A154" s="34" t="n"/>
      <c r="B154" s="45" t="n"/>
      <c r="C154" s="34" t="n"/>
      <c r="D154" s="34" t="n"/>
      <c r="E154" s="47" t="n"/>
      <c r="F154" s="34" t="n"/>
      <c r="G154" s="34" t="n"/>
      <c r="H154" s="34" t="n"/>
      <c r="I154" s="36" t="n"/>
      <c r="J154" s="46">
        <f>IF(G154="","",IFERROR(INDEX(Products!$B$2:$B$101,MATCH(G154,Products!$A$2:$A$101,0)),"Unknown SKU"))</f>
        <v/>
      </c>
      <c r="K154" s="34" t="n"/>
      <c r="L154" s="34" t="n"/>
      <c r="M154" s="36" t="n"/>
      <c r="N154" s="36" t="n"/>
      <c r="O154" s="44">
        <f>IF(OR(H154="",I154=""),"",H154*I154)</f>
        <v/>
      </c>
      <c r="P154" s="44">
        <f>IF(O154="","",O154*IFERROR(INDEX(Settings!$B$8:$B$15,MATCH(C154,Settings!$A$8:$A$15,0)),0))</f>
        <v/>
      </c>
      <c r="Q154" s="44">
        <f>IF(OR(G154="",H154=""),"",H154*IFERROR(INDEX(Products!$J$2:$J$101,MATCH(G154,Products!$A$2:$A$101,0)),0))</f>
        <v/>
      </c>
      <c r="R154" s="44">
        <f>IF(K154="Delivered",N(O154)+N(M154)-N(N154)-N(P154)-N(Q154),IF(OR(K154="Returned",K154="Failed delivery"),-N(N154),""))</f>
        <v/>
      </c>
      <c r="S154">
        <f>IF(E154="","",IF(MATCH(E154,$E$2:E154,0)&lt;ROWS($E$2:E154),"Repeat","New"))</f>
        <v/>
      </c>
      <c r="T154" s="34" t="n"/>
    </row>
    <row r="155">
      <c r="A155" s="34" t="n"/>
      <c r="B155" s="45" t="n"/>
      <c r="C155" s="34" t="n"/>
      <c r="D155" s="34" t="n"/>
      <c r="E155" s="47" t="n"/>
      <c r="F155" s="34" t="n"/>
      <c r="G155" s="34" t="n"/>
      <c r="H155" s="34" t="n"/>
      <c r="I155" s="36" t="n"/>
      <c r="J155" s="46">
        <f>IF(G155="","",IFERROR(INDEX(Products!$B$2:$B$101,MATCH(G155,Products!$A$2:$A$101,0)),"Unknown SKU"))</f>
        <v/>
      </c>
      <c r="K155" s="34" t="n"/>
      <c r="L155" s="34" t="n"/>
      <c r="M155" s="36" t="n"/>
      <c r="N155" s="36" t="n"/>
      <c r="O155" s="44">
        <f>IF(OR(H155="",I155=""),"",H155*I155)</f>
        <v/>
      </c>
      <c r="P155" s="44">
        <f>IF(O155="","",O155*IFERROR(INDEX(Settings!$B$8:$B$15,MATCH(C155,Settings!$A$8:$A$15,0)),0))</f>
        <v/>
      </c>
      <c r="Q155" s="44">
        <f>IF(OR(G155="",H155=""),"",H155*IFERROR(INDEX(Products!$J$2:$J$101,MATCH(G155,Products!$A$2:$A$101,0)),0))</f>
        <v/>
      </c>
      <c r="R155" s="44">
        <f>IF(K155="Delivered",N(O155)+N(M155)-N(N155)-N(P155)-N(Q155),IF(OR(K155="Returned",K155="Failed delivery"),-N(N155),""))</f>
        <v/>
      </c>
      <c r="S155">
        <f>IF(E155="","",IF(MATCH(E155,$E$2:E155,0)&lt;ROWS($E$2:E155),"Repeat","New"))</f>
        <v/>
      </c>
      <c r="T155" s="34" t="n"/>
    </row>
    <row r="156">
      <c r="A156" s="34" t="n"/>
      <c r="B156" s="45" t="n"/>
      <c r="C156" s="34" t="n"/>
      <c r="D156" s="34" t="n"/>
      <c r="E156" s="47" t="n"/>
      <c r="F156" s="34" t="n"/>
      <c r="G156" s="34" t="n"/>
      <c r="H156" s="34" t="n"/>
      <c r="I156" s="36" t="n"/>
      <c r="J156" s="46">
        <f>IF(G156="","",IFERROR(INDEX(Products!$B$2:$B$101,MATCH(G156,Products!$A$2:$A$101,0)),"Unknown SKU"))</f>
        <v/>
      </c>
      <c r="K156" s="34" t="n"/>
      <c r="L156" s="34" t="n"/>
      <c r="M156" s="36" t="n"/>
      <c r="N156" s="36" t="n"/>
      <c r="O156" s="44">
        <f>IF(OR(H156="",I156=""),"",H156*I156)</f>
        <v/>
      </c>
      <c r="P156" s="44">
        <f>IF(O156="","",O156*IFERROR(INDEX(Settings!$B$8:$B$15,MATCH(C156,Settings!$A$8:$A$15,0)),0))</f>
        <v/>
      </c>
      <c r="Q156" s="44">
        <f>IF(OR(G156="",H156=""),"",H156*IFERROR(INDEX(Products!$J$2:$J$101,MATCH(G156,Products!$A$2:$A$101,0)),0))</f>
        <v/>
      </c>
      <c r="R156" s="44">
        <f>IF(K156="Delivered",N(O156)+N(M156)-N(N156)-N(P156)-N(Q156),IF(OR(K156="Returned",K156="Failed delivery"),-N(N156),""))</f>
        <v/>
      </c>
      <c r="S156">
        <f>IF(E156="","",IF(MATCH(E156,$E$2:E156,0)&lt;ROWS($E$2:E156),"Repeat","New"))</f>
        <v/>
      </c>
      <c r="T156" s="34" t="n"/>
    </row>
    <row r="157">
      <c r="A157" s="34" t="n"/>
      <c r="B157" s="45" t="n"/>
      <c r="C157" s="34" t="n"/>
      <c r="D157" s="34" t="n"/>
      <c r="E157" s="47" t="n"/>
      <c r="F157" s="34" t="n"/>
      <c r="G157" s="34" t="n"/>
      <c r="H157" s="34" t="n"/>
      <c r="I157" s="36" t="n"/>
      <c r="J157" s="46">
        <f>IF(G157="","",IFERROR(INDEX(Products!$B$2:$B$101,MATCH(G157,Products!$A$2:$A$101,0)),"Unknown SKU"))</f>
        <v/>
      </c>
      <c r="K157" s="34" t="n"/>
      <c r="L157" s="34" t="n"/>
      <c r="M157" s="36" t="n"/>
      <c r="N157" s="36" t="n"/>
      <c r="O157" s="44">
        <f>IF(OR(H157="",I157=""),"",H157*I157)</f>
        <v/>
      </c>
      <c r="P157" s="44">
        <f>IF(O157="","",O157*IFERROR(INDEX(Settings!$B$8:$B$15,MATCH(C157,Settings!$A$8:$A$15,0)),0))</f>
        <v/>
      </c>
      <c r="Q157" s="44">
        <f>IF(OR(G157="",H157=""),"",H157*IFERROR(INDEX(Products!$J$2:$J$101,MATCH(G157,Products!$A$2:$A$101,0)),0))</f>
        <v/>
      </c>
      <c r="R157" s="44">
        <f>IF(K157="Delivered",N(O157)+N(M157)-N(N157)-N(P157)-N(Q157),IF(OR(K157="Returned",K157="Failed delivery"),-N(N157),""))</f>
        <v/>
      </c>
      <c r="S157">
        <f>IF(E157="","",IF(MATCH(E157,$E$2:E157,0)&lt;ROWS($E$2:E157),"Repeat","New"))</f>
        <v/>
      </c>
      <c r="T157" s="34" t="n"/>
    </row>
    <row r="158">
      <c r="A158" s="34" t="n"/>
      <c r="B158" s="45" t="n"/>
      <c r="C158" s="34" t="n"/>
      <c r="D158" s="34" t="n"/>
      <c r="E158" s="47" t="n"/>
      <c r="F158" s="34" t="n"/>
      <c r="G158" s="34" t="n"/>
      <c r="H158" s="34" t="n"/>
      <c r="I158" s="36" t="n"/>
      <c r="J158" s="46">
        <f>IF(G158="","",IFERROR(INDEX(Products!$B$2:$B$101,MATCH(G158,Products!$A$2:$A$101,0)),"Unknown SKU"))</f>
        <v/>
      </c>
      <c r="K158" s="34" t="n"/>
      <c r="L158" s="34" t="n"/>
      <c r="M158" s="36" t="n"/>
      <c r="N158" s="36" t="n"/>
      <c r="O158" s="44">
        <f>IF(OR(H158="",I158=""),"",H158*I158)</f>
        <v/>
      </c>
      <c r="P158" s="44">
        <f>IF(O158="","",O158*IFERROR(INDEX(Settings!$B$8:$B$15,MATCH(C158,Settings!$A$8:$A$15,0)),0))</f>
        <v/>
      </c>
      <c r="Q158" s="44">
        <f>IF(OR(G158="",H158=""),"",H158*IFERROR(INDEX(Products!$J$2:$J$101,MATCH(G158,Products!$A$2:$A$101,0)),0))</f>
        <v/>
      </c>
      <c r="R158" s="44">
        <f>IF(K158="Delivered",N(O158)+N(M158)-N(N158)-N(P158)-N(Q158),IF(OR(K158="Returned",K158="Failed delivery"),-N(N158),""))</f>
        <v/>
      </c>
      <c r="S158">
        <f>IF(E158="","",IF(MATCH(E158,$E$2:E158,0)&lt;ROWS($E$2:E158),"Repeat","New"))</f>
        <v/>
      </c>
      <c r="T158" s="34" t="n"/>
    </row>
    <row r="159">
      <c r="A159" s="34" t="n"/>
      <c r="B159" s="45" t="n"/>
      <c r="C159" s="34" t="n"/>
      <c r="D159" s="34" t="n"/>
      <c r="E159" s="47" t="n"/>
      <c r="F159" s="34" t="n"/>
      <c r="G159" s="34" t="n"/>
      <c r="H159" s="34" t="n"/>
      <c r="I159" s="36" t="n"/>
      <c r="J159" s="46">
        <f>IF(G159="","",IFERROR(INDEX(Products!$B$2:$B$101,MATCH(G159,Products!$A$2:$A$101,0)),"Unknown SKU"))</f>
        <v/>
      </c>
      <c r="K159" s="34" t="n"/>
      <c r="L159" s="34" t="n"/>
      <c r="M159" s="36" t="n"/>
      <c r="N159" s="36" t="n"/>
      <c r="O159" s="44">
        <f>IF(OR(H159="",I159=""),"",H159*I159)</f>
        <v/>
      </c>
      <c r="P159" s="44">
        <f>IF(O159="","",O159*IFERROR(INDEX(Settings!$B$8:$B$15,MATCH(C159,Settings!$A$8:$A$15,0)),0))</f>
        <v/>
      </c>
      <c r="Q159" s="44">
        <f>IF(OR(G159="",H159=""),"",H159*IFERROR(INDEX(Products!$J$2:$J$101,MATCH(G159,Products!$A$2:$A$101,0)),0))</f>
        <v/>
      </c>
      <c r="R159" s="44">
        <f>IF(K159="Delivered",N(O159)+N(M159)-N(N159)-N(P159)-N(Q159),IF(OR(K159="Returned",K159="Failed delivery"),-N(N159),""))</f>
        <v/>
      </c>
      <c r="S159">
        <f>IF(E159="","",IF(MATCH(E159,$E$2:E159,0)&lt;ROWS($E$2:E159),"Repeat","New"))</f>
        <v/>
      </c>
      <c r="T159" s="34" t="n"/>
    </row>
    <row r="160">
      <c r="A160" s="34" t="n"/>
      <c r="B160" s="45" t="n"/>
      <c r="C160" s="34" t="n"/>
      <c r="D160" s="34" t="n"/>
      <c r="E160" s="47" t="n"/>
      <c r="F160" s="34" t="n"/>
      <c r="G160" s="34" t="n"/>
      <c r="H160" s="34" t="n"/>
      <c r="I160" s="36" t="n"/>
      <c r="J160" s="46">
        <f>IF(G160="","",IFERROR(INDEX(Products!$B$2:$B$101,MATCH(G160,Products!$A$2:$A$101,0)),"Unknown SKU"))</f>
        <v/>
      </c>
      <c r="K160" s="34" t="n"/>
      <c r="L160" s="34" t="n"/>
      <c r="M160" s="36" t="n"/>
      <c r="N160" s="36" t="n"/>
      <c r="O160" s="44">
        <f>IF(OR(H160="",I160=""),"",H160*I160)</f>
        <v/>
      </c>
      <c r="P160" s="44">
        <f>IF(O160="","",O160*IFERROR(INDEX(Settings!$B$8:$B$15,MATCH(C160,Settings!$A$8:$A$15,0)),0))</f>
        <v/>
      </c>
      <c r="Q160" s="44">
        <f>IF(OR(G160="",H160=""),"",H160*IFERROR(INDEX(Products!$J$2:$J$101,MATCH(G160,Products!$A$2:$A$101,0)),0))</f>
        <v/>
      </c>
      <c r="R160" s="44">
        <f>IF(K160="Delivered",N(O160)+N(M160)-N(N160)-N(P160)-N(Q160),IF(OR(K160="Returned",K160="Failed delivery"),-N(N160),""))</f>
        <v/>
      </c>
      <c r="S160">
        <f>IF(E160="","",IF(MATCH(E160,$E$2:E160,0)&lt;ROWS($E$2:E160),"Repeat","New"))</f>
        <v/>
      </c>
      <c r="T160" s="34" t="n"/>
    </row>
    <row r="161">
      <c r="A161" s="34" t="n"/>
      <c r="B161" s="45" t="n"/>
      <c r="C161" s="34" t="n"/>
      <c r="D161" s="34" t="n"/>
      <c r="E161" s="47" t="n"/>
      <c r="F161" s="34" t="n"/>
      <c r="G161" s="34" t="n"/>
      <c r="H161" s="34" t="n"/>
      <c r="I161" s="36" t="n"/>
      <c r="J161" s="46">
        <f>IF(G161="","",IFERROR(INDEX(Products!$B$2:$B$101,MATCH(G161,Products!$A$2:$A$101,0)),"Unknown SKU"))</f>
        <v/>
      </c>
      <c r="K161" s="34" t="n"/>
      <c r="L161" s="34" t="n"/>
      <c r="M161" s="36" t="n"/>
      <c r="N161" s="36" t="n"/>
      <c r="O161" s="44">
        <f>IF(OR(H161="",I161=""),"",H161*I161)</f>
        <v/>
      </c>
      <c r="P161" s="44">
        <f>IF(O161="","",O161*IFERROR(INDEX(Settings!$B$8:$B$15,MATCH(C161,Settings!$A$8:$A$15,0)),0))</f>
        <v/>
      </c>
      <c r="Q161" s="44">
        <f>IF(OR(G161="",H161=""),"",H161*IFERROR(INDEX(Products!$J$2:$J$101,MATCH(G161,Products!$A$2:$A$101,0)),0))</f>
        <v/>
      </c>
      <c r="R161" s="44">
        <f>IF(K161="Delivered",N(O161)+N(M161)-N(N161)-N(P161)-N(Q161),IF(OR(K161="Returned",K161="Failed delivery"),-N(N161),""))</f>
        <v/>
      </c>
      <c r="S161">
        <f>IF(E161="","",IF(MATCH(E161,$E$2:E161,0)&lt;ROWS($E$2:E161),"Repeat","New"))</f>
        <v/>
      </c>
      <c r="T161" s="34" t="n"/>
    </row>
    <row r="162">
      <c r="A162" s="34" t="n"/>
      <c r="B162" s="45" t="n"/>
      <c r="C162" s="34" t="n"/>
      <c r="D162" s="34" t="n"/>
      <c r="E162" s="47" t="n"/>
      <c r="F162" s="34" t="n"/>
      <c r="G162" s="34" t="n"/>
      <c r="H162" s="34" t="n"/>
      <c r="I162" s="36" t="n"/>
      <c r="J162" s="46">
        <f>IF(G162="","",IFERROR(INDEX(Products!$B$2:$B$101,MATCH(G162,Products!$A$2:$A$101,0)),"Unknown SKU"))</f>
        <v/>
      </c>
      <c r="K162" s="34" t="n"/>
      <c r="L162" s="34" t="n"/>
      <c r="M162" s="36" t="n"/>
      <c r="N162" s="36" t="n"/>
      <c r="O162" s="44">
        <f>IF(OR(H162="",I162=""),"",H162*I162)</f>
        <v/>
      </c>
      <c r="P162" s="44">
        <f>IF(O162="","",O162*IFERROR(INDEX(Settings!$B$8:$B$15,MATCH(C162,Settings!$A$8:$A$15,0)),0))</f>
        <v/>
      </c>
      <c r="Q162" s="44">
        <f>IF(OR(G162="",H162=""),"",H162*IFERROR(INDEX(Products!$J$2:$J$101,MATCH(G162,Products!$A$2:$A$101,0)),0))</f>
        <v/>
      </c>
      <c r="R162" s="44">
        <f>IF(K162="Delivered",N(O162)+N(M162)-N(N162)-N(P162)-N(Q162),IF(OR(K162="Returned",K162="Failed delivery"),-N(N162),""))</f>
        <v/>
      </c>
      <c r="S162">
        <f>IF(E162="","",IF(MATCH(E162,$E$2:E162,0)&lt;ROWS($E$2:E162),"Repeat","New"))</f>
        <v/>
      </c>
      <c r="T162" s="34" t="n"/>
    </row>
    <row r="163">
      <c r="A163" s="34" t="n"/>
      <c r="B163" s="45" t="n"/>
      <c r="C163" s="34" t="n"/>
      <c r="D163" s="34" t="n"/>
      <c r="E163" s="47" t="n"/>
      <c r="F163" s="34" t="n"/>
      <c r="G163" s="34" t="n"/>
      <c r="H163" s="34" t="n"/>
      <c r="I163" s="36" t="n"/>
      <c r="J163" s="46">
        <f>IF(G163="","",IFERROR(INDEX(Products!$B$2:$B$101,MATCH(G163,Products!$A$2:$A$101,0)),"Unknown SKU"))</f>
        <v/>
      </c>
      <c r="K163" s="34" t="n"/>
      <c r="L163" s="34" t="n"/>
      <c r="M163" s="36" t="n"/>
      <c r="N163" s="36" t="n"/>
      <c r="O163" s="44">
        <f>IF(OR(H163="",I163=""),"",H163*I163)</f>
        <v/>
      </c>
      <c r="P163" s="44">
        <f>IF(O163="","",O163*IFERROR(INDEX(Settings!$B$8:$B$15,MATCH(C163,Settings!$A$8:$A$15,0)),0))</f>
        <v/>
      </c>
      <c r="Q163" s="44">
        <f>IF(OR(G163="",H163=""),"",H163*IFERROR(INDEX(Products!$J$2:$J$101,MATCH(G163,Products!$A$2:$A$101,0)),0))</f>
        <v/>
      </c>
      <c r="R163" s="44">
        <f>IF(K163="Delivered",N(O163)+N(M163)-N(N163)-N(P163)-N(Q163),IF(OR(K163="Returned",K163="Failed delivery"),-N(N163),""))</f>
        <v/>
      </c>
      <c r="S163">
        <f>IF(E163="","",IF(MATCH(E163,$E$2:E163,0)&lt;ROWS($E$2:E163),"Repeat","New"))</f>
        <v/>
      </c>
      <c r="T163" s="34" t="n"/>
    </row>
    <row r="164">
      <c r="A164" s="34" t="n"/>
      <c r="B164" s="45" t="n"/>
      <c r="C164" s="34" t="n"/>
      <c r="D164" s="34" t="n"/>
      <c r="E164" s="47" t="n"/>
      <c r="F164" s="34" t="n"/>
      <c r="G164" s="34" t="n"/>
      <c r="H164" s="34" t="n"/>
      <c r="I164" s="36" t="n"/>
      <c r="J164" s="46">
        <f>IF(G164="","",IFERROR(INDEX(Products!$B$2:$B$101,MATCH(G164,Products!$A$2:$A$101,0)),"Unknown SKU"))</f>
        <v/>
      </c>
      <c r="K164" s="34" t="n"/>
      <c r="L164" s="34" t="n"/>
      <c r="M164" s="36" t="n"/>
      <c r="N164" s="36" t="n"/>
      <c r="O164" s="44">
        <f>IF(OR(H164="",I164=""),"",H164*I164)</f>
        <v/>
      </c>
      <c r="P164" s="44">
        <f>IF(O164="","",O164*IFERROR(INDEX(Settings!$B$8:$B$15,MATCH(C164,Settings!$A$8:$A$15,0)),0))</f>
        <v/>
      </c>
      <c r="Q164" s="44">
        <f>IF(OR(G164="",H164=""),"",H164*IFERROR(INDEX(Products!$J$2:$J$101,MATCH(G164,Products!$A$2:$A$101,0)),0))</f>
        <v/>
      </c>
      <c r="R164" s="44">
        <f>IF(K164="Delivered",N(O164)+N(M164)-N(N164)-N(P164)-N(Q164),IF(OR(K164="Returned",K164="Failed delivery"),-N(N164),""))</f>
        <v/>
      </c>
      <c r="S164">
        <f>IF(E164="","",IF(MATCH(E164,$E$2:E164,0)&lt;ROWS($E$2:E164),"Repeat","New"))</f>
        <v/>
      </c>
      <c r="T164" s="34" t="n"/>
    </row>
    <row r="165">
      <c r="A165" s="34" t="n"/>
      <c r="B165" s="45" t="n"/>
      <c r="C165" s="34" t="n"/>
      <c r="D165" s="34" t="n"/>
      <c r="E165" s="47" t="n"/>
      <c r="F165" s="34" t="n"/>
      <c r="G165" s="34" t="n"/>
      <c r="H165" s="34" t="n"/>
      <c r="I165" s="36" t="n"/>
      <c r="J165" s="46">
        <f>IF(G165="","",IFERROR(INDEX(Products!$B$2:$B$101,MATCH(G165,Products!$A$2:$A$101,0)),"Unknown SKU"))</f>
        <v/>
      </c>
      <c r="K165" s="34" t="n"/>
      <c r="L165" s="34" t="n"/>
      <c r="M165" s="36" t="n"/>
      <c r="N165" s="36" t="n"/>
      <c r="O165" s="44">
        <f>IF(OR(H165="",I165=""),"",H165*I165)</f>
        <v/>
      </c>
      <c r="P165" s="44">
        <f>IF(O165="","",O165*IFERROR(INDEX(Settings!$B$8:$B$15,MATCH(C165,Settings!$A$8:$A$15,0)),0))</f>
        <v/>
      </c>
      <c r="Q165" s="44">
        <f>IF(OR(G165="",H165=""),"",H165*IFERROR(INDEX(Products!$J$2:$J$101,MATCH(G165,Products!$A$2:$A$101,0)),0))</f>
        <v/>
      </c>
      <c r="R165" s="44">
        <f>IF(K165="Delivered",N(O165)+N(M165)-N(N165)-N(P165)-N(Q165),IF(OR(K165="Returned",K165="Failed delivery"),-N(N165),""))</f>
        <v/>
      </c>
      <c r="S165">
        <f>IF(E165="","",IF(MATCH(E165,$E$2:E165,0)&lt;ROWS($E$2:E165),"Repeat","New"))</f>
        <v/>
      </c>
      <c r="T165" s="34" t="n"/>
    </row>
    <row r="166">
      <c r="A166" s="34" t="n"/>
      <c r="B166" s="45" t="n"/>
      <c r="C166" s="34" t="n"/>
      <c r="D166" s="34" t="n"/>
      <c r="E166" s="47" t="n"/>
      <c r="F166" s="34" t="n"/>
      <c r="G166" s="34" t="n"/>
      <c r="H166" s="34" t="n"/>
      <c r="I166" s="36" t="n"/>
      <c r="J166" s="46">
        <f>IF(G166="","",IFERROR(INDEX(Products!$B$2:$B$101,MATCH(G166,Products!$A$2:$A$101,0)),"Unknown SKU"))</f>
        <v/>
      </c>
      <c r="K166" s="34" t="n"/>
      <c r="L166" s="34" t="n"/>
      <c r="M166" s="36" t="n"/>
      <c r="N166" s="36" t="n"/>
      <c r="O166" s="44">
        <f>IF(OR(H166="",I166=""),"",H166*I166)</f>
        <v/>
      </c>
      <c r="P166" s="44">
        <f>IF(O166="","",O166*IFERROR(INDEX(Settings!$B$8:$B$15,MATCH(C166,Settings!$A$8:$A$15,0)),0))</f>
        <v/>
      </c>
      <c r="Q166" s="44">
        <f>IF(OR(G166="",H166=""),"",H166*IFERROR(INDEX(Products!$J$2:$J$101,MATCH(G166,Products!$A$2:$A$101,0)),0))</f>
        <v/>
      </c>
      <c r="R166" s="44">
        <f>IF(K166="Delivered",N(O166)+N(M166)-N(N166)-N(P166)-N(Q166),IF(OR(K166="Returned",K166="Failed delivery"),-N(N166),""))</f>
        <v/>
      </c>
      <c r="S166">
        <f>IF(E166="","",IF(MATCH(E166,$E$2:E166,0)&lt;ROWS($E$2:E166),"Repeat","New"))</f>
        <v/>
      </c>
      <c r="T166" s="34" t="n"/>
    </row>
    <row r="167">
      <c r="A167" s="34" t="n"/>
      <c r="B167" s="45" t="n"/>
      <c r="C167" s="34" t="n"/>
      <c r="D167" s="34" t="n"/>
      <c r="E167" s="47" t="n"/>
      <c r="F167" s="34" t="n"/>
      <c r="G167" s="34" t="n"/>
      <c r="H167" s="34" t="n"/>
      <c r="I167" s="36" t="n"/>
      <c r="J167" s="46">
        <f>IF(G167="","",IFERROR(INDEX(Products!$B$2:$B$101,MATCH(G167,Products!$A$2:$A$101,0)),"Unknown SKU"))</f>
        <v/>
      </c>
      <c r="K167" s="34" t="n"/>
      <c r="L167" s="34" t="n"/>
      <c r="M167" s="36" t="n"/>
      <c r="N167" s="36" t="n"/>
      <c r="O167" s="44">
        <f>IF(OR(H167="",I167=""),"",H167*I167)</f>
        <v/>
      </c>
      <c r="P167" s="44">
        <f>IF(O167="","",O167*IFERROR(INDEX(Settings!$B$8:$B$15,MATCH(C167,Settings!$A$8:$A$15,0)),0))</f>
        <v/>
      </c>
      <c r="Q167" s="44">
        <f>IF(OR(G167="",H167=""),"",H167*IFERROR(INDEX(Products!$J$2:$J$101,MATCH(G167,Products!$A$2:$A$101,0)),0))</f>
        <v/>
      </c>
      <c r="R167" s="44">
        <f>IF(K167="Delivered",N(O167)+N(M167)-N(N167)-N(P167)-N(Q167),IF(OR(K167="Returned",K167="Failed delivery"),-N(N167),""))</f>
        <v/>
      </c>
      <c r="S167">
        <f>IF(E167="","",IF(MATCH(E167,$E$2:E167,0)&lt;ROWS($E$2:E167),"Repeat","New"))</f>
        <v/>
      </c>
      <c r="T167" s="34" t="n"/>
    </row>
    <row r="168">
      <c r="A168" s="34" t="n"/>
      <c r="B168" s="45" t="n"/>
      <c r="C168" s="34" t="n"/>
      <c r="D168" s="34" t="n"/>
      <c r="E168" s="47" t="n"/>
      <c r="F168" s="34" t="n"/>
      <c r="G168" s="34" t="n"/>
      <c r="H168" s="34" t="n"/>
      <c r="I168" s="36" t="n"/>
      <c r="J168" s="46">
        <f>IF(G168="","",IFERROR(INDEX(Products!$B$2:$B$101,MATCH(G168,Products!$A$2:$A$101,0)),"Unknown SKU"))</f>
        <v/>
      </c>
      <c r="K168" s="34" t="n"/>
      <c r="L168" s="34" t="n"/>
      <c r="M168" s="36" t="n"/>
      <c r="N168" s="36" t="n"/>
      <c r="O168" s="44">
        <f>IF(OR(H168="",I168=""),"",H168*I168)</f>
        <v/>
      </c>
      <c r="P168" s="44">
        <f>IF(O168="","",O168*IFERROR(INDEX(Settings!$B$8:$B$15,MATCH(C168,Settings!$A$8:$A$15,0)),0))</f>
        <v/>
      </c>
      <c r="Q168" s="44">
        <f>IF(OR(G168="",H168=""),"",H168*IFERROR(INDEX(Products!$J$2:$J$101,MATCH(G168,Products!$A$2:$A$101,0)),0))</f>
        <v/>
      </c>
      <c r="R168" s="44">
        <f>IF(K168="Delivered",N(O168)+N(M168)-N(N168)-N(P168)-N(Q168),IF(OR(K168="Returned",K168="Failed delivery"),-N(N168),""))</f>
        <v/>
      </c>
      <c r="S168">
        <f>IF(E168="","",IF(MATCH(E168,$E$2:E168,0)&lt;ROWS($E$2:E168),"Repeat","New"))</f>
        <v/>
      </c>
      <c r="T168" s="34" t="n"/>
    </row>
    <row r="169">
      <c r="A169" s="34" t="n"/>
      <c r="B169" s="45" t="n"/>
      <c r="C169" s="34" t="n"/>
      <c r="D169" s="34" t="n"/>
      <c r="E169" s="47" t="n"/>
      <c r="F169" s="34" t="n"/>
      <c r="G169" s="34" t="n"/>
      <c r="H169" s="34" t="n"/>
      <c r="I169" s="36" t="n"/>
      <c r="J169" s="46">
        <f>IF(G169="","",IFERROR(INDEX(Products!$B$2:$B$101,MATCH(G169,Products!$A$2:$A$101,0)),"Unknown SKU"))</f>
        <v/>
      </c>
      <c r="K169" s="34" t="n"/>
      <c r="L169" s="34" t="n"/>
      <c r="M169" s="36" t="n"/>
      <c r="N169" s="36" t="n"/>
      <c r="O169" s="44">
        <f>IF(OR(H169="",I169=""),"",H169*I169)</f>
        <v/>
      </c>
      <c r="P169" s="44">
        <f>IF(O169="","",O169*IFERROR(INDEX(Settings!$B$8:$B$15,MATCH(C169,Settings!$A$8:$A$15,0)),0))</f>
        <v/>
      </c>
      <c r="Q169" s="44">
        <f>IF(OR(G169="",H169=""),"",H169*IFERROR(INDEX(Products!$J$2:$J$101,MATCH(G169,Products!$A$2:$A$101,0)),0))</f>
        <v/>
      </c>
      <c r="R169" s="44">
        <f>IF(K169="Delivered",N(O169)+N(M169)-N(N169)-N(P169)-N(Q169),IF(OR(K169="Returned",K169="Failed delivery"),-N(N169),""))</f>
        <v/>
      </c>
      <c r="S169">
        <f>IF(E169="","",IF(MATCH(E169,$E$2:E169,0)&lt;ROWS($E$2:E169),"Repeat","New"))</f>
        <v/>
      </c>
      <c r="T169" s="34" t="n"/>
    </row>
    <row r="170">
      <c r="A170" s="34" t="n"/>
      <c r="B170" s="45" t="n"/>
      <c r="C170" s="34" t="n"/>
      <c r="D170" s="34" t="n"/>
      <c r="E170" s="47" t="n"/>
      <c r="F170" s="34" t="n"/>
      <c r="G170" s="34" t="n"/>
      <c r="H170" s="34" t="n"/>
      <c r="I170" s="36" t="n"/>
      <c r="J170" s="46">
        <f>IF(G170="","",IFERROR(INDEX(Products!$B$2:$B$101,MATCH(G170,Products!$A$2:$A$101,0)),"Unknown SKU"))</f>
        <v/>
      </c>
      <c r="K170" s="34" t="n"/>
      <c r="L170" s="34" t="n"/>
      <c r="M170" s="36" t="n"/>
      <c r="N170" s="36" t="n"/>
      <c r="O170" s="44">
        <f>IF(OR(H170="",I170=""),"",H170*I170)</f>
        <v/>
      </c>
      <c r="P170" s="44">
        <f>IF(O170="","",O170*IFERROR(INDEX(Settings!$B$8:$B$15,MATCH(C170,Settings!$A$8:$A$15,0)),0))</f>
        <v/>
      </c>
      <c r="Q170" s="44">
        <f>IF(OR(G170="",H170=""),"",H170*IFERROR(INDEX(Products!$J$2:$J$101,MATCH(G170,Products!$A$2:$A$101,0)),0))</f>
        <v/>
      </c>
      <c r="R170" s="44">
        <f>IF(K170="Delivered",N(O170)+N(M170)-N(N170)-N(P170)-N(Q170),IF(OR(K170="Returned",K170="Failed delivery"),-N(N170),""))</f>
        <v/>
      </c>
      <c r="S170">
        <f>IF(E170="","",IF(MATCH(E170,$E$2:E170,0)&lt;ROWS($E$2:E170),"Repeat","New"))</f>
        <v/>
      </c>
      <c r="T170" s="34" t="n"/>
    </row>
    <row r="171">
      <c r="A171" s="34" t="n"/>
      <c r="B171" s="45" t="n"/>
      <c r="C171" s="34" t="n"/>
      <c r="D171" s="34" t="n"/>
      <c r="E171" s="47" t="n"/>
      <c r="F171" s="34" t="n"/>
      <c r="G171" s="34" t="n"/>
      <c r="H171" s="34" t="n"/>
      <c r="I171" s="36" t="n"/>
      <c r="J171" s="46">
        <f>IF(G171="","",IFERROR(INDEX(Products!$B$2:$B$101,MATCH(G171,Products!$A$2:$A$101,0)),"Unknown SKU"))</f>
        <v/>
      </c>
      <c r="K171" s="34" t="n"/>
      <c r="L171" s="34" t="n"/>
      <c r="M171" s="36" t="n"/>
      <c r="N171" s="36" t="n"/>
      <c r="O171" s="44">
        <f>IF(OR(H171="",I171=""),"",H171*I171)</f>
        <v/>
      </c>
      <c r="P171" s="44">
        <f>IF(O171="","",O171*IFERROR(INDEX(Settings!$B$8:$B$15,MATCH(C171,Settings!$A$8:$A$15,0)),0))</f>
        <v/>
      </c>
      <c r="Q171" s="44">
        <f>IF(OR(G171="",H171=""),"",H171*IFERROR(INDEX(Products!$J$2:$J$101,MATCH(G171,Products!$A$2:$A$101,0)),0))</f>
        <v/>
      </c>
      <c r="R171" s="44">
        <f>IF(K171="Delivered",N(O171)+N(M171)-N(N171)-N(P171)-N(Q171),IF(OR(K171="Returned",K171="Failed delivery"),-N(N171),""))</f>
        <v/>
      </c>
      <c r="S171">
        <f>IF(E171="","",IF(MATCH(E171,$E$2:E171,0)&lt;ROWS($E$2:E171),"Repeat","New"))</f>
        <v/>
      </c>
      <c r="T171" s="34" t="n"/>
    </row>
    <row r="172">
      <c r="A172" s="34" t="n"/>
      <c r="B172" s="45" t="n"/>
      <c r="C172" s="34" t="n"/>
      <c r="D172" s="34" t="n"/>
      <c r="E172" s="47" t="n"/>
      <c r="F172" s="34" t="n"/>
      <c r="G172" s="34" t="n"/>
      <c r="H172" s="34" t="n"/>
      <c r="I172" s="36" t="n"/>
      <c r="J172" s="46">
        <f>IF(G172="","",IFERROR(INDEX(Products!$B$2:$B$101,MATCH(G172,Products!$A$2:$A$101,0)),"Unknown SKU"))</f>
        <v/>
      </c>
      <c r="K172" s="34" t="n"/>
      <c r="L172" s="34" t="n"/>
      <c r="M172" s="36" t="n"/>
      <c r="N172" s="36" t="n"/>
      <c r="O172" s="44">
        <f>IF(OR(H172="",I172=""),"",H172*I172)</f>
        <v/>
      </c>
      <c r="P172" s="44">
        <f>IF(O172="","",O172*IFERROR(INDEX(Settings!$B$8:$B$15,MATCH(C172,Settings!$A$8:$A$15,0)),0))</f>
        <v/>
      </c>
      <c r="Q172" s="44">
        <f>IF(OR(G172="",H172=""),"",H172*IFERROR(INDEX(Products!$J$2:$J$101,MATCH(G172,Products!$A$2:$A$101,0)),0))</f>
        <v/>
      </c>
      <c r="R172" s="44">
        <f>IF(K172="Delivered",N(O172)+N(M172)-N(N172)-N(P172)-N(Q172),IF(OR(K172="Returned",K172="Failed delivery"),-N(N172),""))</f>
        <v/>
      </c>
      <c r="S172">
        <f>IF(E172="","",IF(MATCH(E172,$E$2:E172,0)&lt;ROWS($E$2:E172),"Repeat","New"))</f>
        <v/>
      </c>
      <c r="T172" s="34" t="n"/>
    </row>
    <row r="173">
      <c r="A173" s="34" t="n"/>
      <c r="B173" s="45" t="n"/>
      <c r="C173" s="34" t="n"/>
      <c r="D173" s="34" t="n"/>
      <c r="E173" s="47" t="n"/>
      <c r="F173" s="34" t="n"/>
      <c r="G173" s="34" t="n"/>
      <c r="H173" s="34" t="n"/>
      <c r="I173" s="36" t="n"/>
      <c r="J173" s="46">
        <f>IF(G173="","",IFERROR(INDEX(Products!$B$2:$B$101,MATCH(G173,Products!$A$2:$A$101,0)),"Unknown SKU"))</f>
        <v/>
      </c>
      <c r="K173" s="34" t="n"/>
      <c r="L173" s="34" t="n"/>
      <c r="M173" s="36" t="n"/>
      <c r="N173" s="36" t="n"/>
      <c r="O173" s="44">
        <f>IF(OR(H173="",I173=""),"",H173*I173)</f>
        <v/>
      </c>
      <c r="P173" s="44">
        <f>IF(O173="","",O173*IFERROR(INDEX(Settings!$B$8:$B$15,MATCH(C173,Settings!$A$8:$A$15,0)),0))</f>
        <v/>
      </c>
      <c r="Q173" s="44">
        <f>IF(OR(G173="",H173=""),"",H173*IFERROR(INDEX(Products!$J$2:$J$101,MATCH(G173,Products!$A$2:$A$101,0)),0))</f>
        <v/>
      </c>
      <c r="R173" s="44">
        <f>IF(K173="Delivered",N(O173)+N(M173)-N(N173)-N(P173)-N(Q173),IF(OR(K173="Returned",K173="Failed delivery"),-N(N173),""))</f>
        <v/>
      </c>
      <c r="S173">
        <f>IF(E173="","",IF(MATCH(E173,$E$2:E173,0)&lt;ROWS($E$2:E173),"Repeat","New"))</f>
        <v/>
      </c>
      <c r="T173" s="34" t="n"/>
    </row>
    <row r="174">
      <c r="A174" s="34" t="n"/>
      <c r="B174" s="45" t="n"/>
      <c r="C174" s="34" t="n"/>
      <c r="D174" s="34" t="n"/>
      <c r="E174" s="47" t="n"/>
      <c r="F174" s="34" t="n"/>
      <c r="G174" s="34" t="n"/>
      <c r="H174" s="34" t="n"/>
      <c r="I174" s="36" t="n"/>
      <c r="J174" s="46">
        <f>IF(G174="","",IFERROR(INDEX(Products!$B$2:$B$101,MATCH(G174,Products!$A$2:$A$101,0)),"Unknown SKU"))</f>
        <v/>
      </c>
      <c r="K174" s="34" t="n"/>
      <c r="L174" s="34" t="n"/>
      <c r="M174" s="36" t="n"/>
      <c r="N174" s="36" t="n"/>
      <c r="O174" s="44">
        <f>IF(OR(H174="",I174=""),"",H174*I174)</f>
        <v/>
      </c>
      <c r="P174" s="44">
        <f>IF(O174="","",O174*IFERROR(INDEX(Settings!$B$8:$B$15,MATCH(C174,Settings!$A$8:$A$15,0)),0))</f>
        <v/>
      </c>
      <c r="Q174" s="44">
        <f>IF(OR(G174="",H174=""),"",H174*IFERROR(INDEX(Products!$J$2:$J$101,MATCH(G174,Products!$A$2:$A$101,0)),0))</f>
        <v/>
      </c>
      <c r="R174" s="44">
        <f>IF(K174="Delivered",N(O174)+N(M174)-N(N174)-N(P174)-N(Q174),IF(OR(K174="Returned",K174="Failed delivery"),-N(N174),""))</f>
        <v/>
      </c>
      <c r="S174">
        <f>IF(E174="","",IF(MATCH(E174,$E$2:E174,0)&lt;ROWS($E$2:E174),"Repeat","New"))</f>
        <v/>
      </c>
      <c r="T174" s="34" t="n"/>
    </row>
    <row r="175">
      <c r="A175" s="34" t="n"/>
      <c r="B175" s="45" t="n"/>
      <c r="C175" s="34" t="n"/>
      <c r="D175" s="34" t="n"/>
      <c r="E175" s="47" t="n"/>
      <c r="F175" s="34" t="n"/>
      <c r="G175" s="34" t="n"/>
      <c r="H175" s="34" t="n"/>
      <c r="I175" s="36" t="n"/>
      <c r="J175" s="46">
        <f>IF(G175="","",IFERROR(INDEX(Products!$B$2:$B$101,MATCH(G175,Products!$A$2:$A$101,0)),"Unknown SKU"))</f>
        <v/>
      </c>
      <c r="K175" s="34" t="n"/>
      <c r="L175" s="34" t="n"/>
      <c r="M175" s="36" t="n"/>
      <c r="N175" s="36" t="n"/>
      <c r="O175" s="44">
        <f>IF(OR(H175="",I175=""),"",H175*I175)</f>
        <v/>
      </c>
      <c r="P175" s="44">
        <f>IF(O175="","",O175*IFERROR(INDEX(Settings!$B$8:$B$15,MATCH(C175,Settings!$A$8:$A$15,0)),0))</f>
        <v/>
      </c>
      <c r="Q175" s="44">
        <f>IF(OR(G175="",H175=""),"",H175*IFERROR(INDEX(Products!$J$2:$J$101,MATCH(G175,Products!$A$2:$A$101,0)),0))</f>
        <v/>
      </c>
      <c r="R175" s="44">
        <f>IF(K175="Delivered",N(O175)+N(M175)-N(N175)-N(P175)-N(Q175),IF(OR(K175="Returned",K175="Failed delivery"),-N(N175),""))</f>
        <v/>
      </c>
      <c r="S175">
        <f>IF(E175="","",IF(MATCH(E175,$E$2:E175,0)&lt;ROWS($E$2:E175),"Repeat","New"))</f>
        <v/>
      </c>
      <c r="T175" s="34" t="n"/>
    </row>
    <row r="176">
      <c r="A176" s="34" t="n"/>
      <c r="B176" s="45" t="n"/>
      <c r="C176" s="34" t="n"/>
      <c r="D176" s="34" t="n"/>
      <c r="E176" s="47" t="n"/>
      <c r="F176" s="34" t="n"/>
      <c r="G176" s="34" t="n"/>
      <c r="H176" s="34" t="n"/>
      <c r="I176" s="36" t="n"/>
      <c r="J176" s="46">
        <f>IF(G176="","",IFERROR(INDEX(Products!$B$2:$B$101,MATCH(G176,Products!$A$2:$A$101,0)),"Unknown SKU"))</f>
        <v/>
      </c>
      <c r="K176" s="34" t="n"/>
      <c r="L176" s="34" t="n"/>
      <c r="M176" s="36" t="n"/>
      <c r="N176" s="36" t="n"/>
      <c r="O176" s="44">
        <f>IF(OR(H176="",I176=""),"",H176*I176)</f>
        <v/>
      </c>
      <c r="P176" s="44">
        <f>IF(O176="","",O176*IFERROR(INDEX(Settings!$B$8:$B$15,MATCH(C176,Settings!$A$8:$A$15,0)),0))</f>
        <v/>
      </c>
      <c r="Q176" s="44">
        <f>IF(OR(G176="",H176=""),"",H176*IFERROR(INDEX(Products!$J$2:$J$101,MATCH(G176,Products!$A$2:$A$101,0)),0))</f>
        <v/>
      </c>
      <c r="R176" s="44">
        <f>IF(K176="Delivered",N(O176)+N(M176)-N(N176)-N(P176)-N(Q176),IF(OR(K176="Returned",K176="Failed delivery"),-N(N176),""))</f>
        <v/>
      </c>
      <c r="S176">
        <f>IF(E176="","",IF(MATCH(E176,$E$2:E176,0)&lt;ROWS($E$2:E176),"Repeat","New"))</f>
        <v/>
      </c>
      <c r="T176" s="34" t="n"/>
    </row>
    <row r="177">
      <c r="A177" s="34" t="n"/>
      <c r="B177" s="45" t="n"/>
      <c r="C177" s="34" t="n"/>
      <c r="D177" s="34" t="n"/>
      <c r="E177" s="47" t="n"/>
      <c r="F177" s="34" t="n"/>
      <c r="G177" s="34" t="n"/>
      <c r="H177" s="34" t="n"/>
      <c r="I177" s="36" t="n"/>
      <c r="J177" s="46">
        <f>IF(G177="","",IFERROR(INDEX(Products!$B$2:$B$101,MATCH(G177,Products!$A$2:$A$101,0)),"Unknown SKU"))</f>
        <v/>
      </c>
      <c r="K177" s="34" t="n"/>
      <c r="L177" s="34" t="n"/>
      <c r="M177" s="36" t="n"/>
      <c r="N177" s="36" t="n"/>
      <c r="O177" s="44">
        <f>IF(OR(H177="",I177=""),"",H177*I177)</f>
        <v/>
      </c>
      <c r="P177" s="44">
        <f>IF(O177="","",O177*IFERROR(INDEX(Settings!$B$8:$B$15,MATCH(C177,Settings!$A$8:$A$15,0)),0))</f>
        <v/>
      </c>
      <c r="Q177" s="44">
        <f>IF(OR(G177="",H177=""),"",H177*IFERROR(INDEX(Products!$J$2:$J$101,MATCH(G177,Products!$A$2:$A$101,0)),0))</f>
        <v/>
      </c>
      <c r="R177" s="44">
        <f>IF(K177="Delivered",N(O177)+N(M177)-N(N177)-N(P177)-N(Q177),IF(OR(K177="Returned",K177="Failed delivery"),-N(N177),""))</f>
        <v/>
      </c>
      <c r="S177">
        <f>IF(E177="","",IF(MATCH(E177,$E$2:E177,0)&lt;ROWS($E$2:E177),"Repeat","New"))</f>
        <v/>
      </c>
      <c r="T177" s="34" t="n"/>
    </row>
    <row r="178">
      <c r="A178" s="34" t="n"/>
      <c r="B178" s="45" t="n"/>
      <c r="C178" s="34" t="n"/>
      <c r="D178" s="34" t="n"/>
      <c r="E178" s="47" t="n"/>
      <c r="F178" s="34" t="n"/>
      <c r="G178" s="34" t="n"/>
      <c r="H178" s="34" t="n"/>
      <c r="I178" s="36" t="n"/>
      <c r="J178" s="46">
        <f>IF(G178="","",IFERROR(INDEX(Products!$B$2:$B$101,MATCH(G178,Products!$A$2:$A$101,0)),"Unknown SKU"))</f>
        <v/>
      </c>
      <c r="K178" s="34" t="n"/>
      <c r="L178" s="34" t="n"/>
      <c r="M178" s="36" t="n"/>
      <c r="N178" s="36" t="n"/>
      <c r="O178" s="44">
        <f>IF(OR(H178="",I178=""),"",H178*I178)</f>
        <v/>
      </c>
      <c r="P178" s="44">
        <f>IF(O178="","",O178*IFERROR(INDEX(Settings!$B$8:$B$15,MATCH(C178,Settings!$A$8:$A$15,0)),0))</f>
        <v/>
      </c>
      <c r="Q178" s="44">
        <f>IF(OR(G178="",H178=""),"",H178*IFERROR(INDEX(Products!$J$2:$J$101,MATCH(G178,Products!$A$2:$A$101,0)),0))</f>
        <v/>
      </c>
      <c r="R178" s="44">
        <f>IF(K178="Delivered",N(O178)+N(M178)-N(N178)-N(P178)-N(Q178),IF(OR(K178="Returned",K178="Failed delivery"),-N(N178),""))</f>
        <v/>
      </c>
      <c r="S178">
        <f>IF(E178="","",IF(MATCH(E178,$E$2:E178,0)&lt;ROWS($E$2:E178),"Repeat","New"))</f>
        <v/>
      </c>
      <c r="T178" s="34" t="n"/>
    </row>
    <row r="179">
      <c r="A179" s="34" t="n"/>
      <c r="B179" s="45" t="n"/>
      <c r="C179" s="34" t="n"/>
      <c r="D179" s="34" t="n"/>
      <c r="E179" s="47" t="n"/>
      <c r="F179" s="34" t="n"/>
      <c r="G179" s="34" t="n"/>
      <c r="H179" s="34" t="n"/>
      <c r="I179" s="36" t="n"/>
      <c r="J179" s="46">
        <f>IF(G179="","",IFERROR(INDEX(Products!$B$2:$B$101,MATCH(G179,Products!$A$2:$A$101,0)),"Unknown SKU"))</f>
        <v/>
      </c>
      <c r="K179" s="34" t="n"/>
      <c r="L179" s="34" t="n"/>
      <c r="M179" s="36" t="n"/>
      <c r="N179" s="36" t="n"/>
      <c r="O179" s="44">
        <f>IF(OR(H179="",I179=""),"",H179*I179)</f>
        <v/>
      </c>
      <c r="P179" s="44">
        <f>IF(O179="","",O179*IFERROR(INDEX(Settings!$B$8:$B$15,MATCH(C179,Settings!$A$8:$A$15,0)),0))</f>
        <v/>
      </c>
      <c r="Q179" s="44">
        <f>IF(OR(G179="",H179=""),"",H179*IFERROR(INDEX(Products!$J$2:$J$101,MATCH(G179,Products!$A$2:$A$101,0)),0))</f>
        <v/>
      </c>
      <c r="R179" s="44">
        <f>IF(K179="Delivered",N(O179)+N(M179)-N(N179)-N(P179)-N(Q179),IF(OR(K179="Returned",K179="Failed delivery"),-N(N179),""))</f>
        <v/>
      </c>
      <c r="S179">
        <f>IF(E179="","",IF(MATCH(E179,$E$2:E179,0)&lt;ROWS($E$2:E179),"Repeat","New"))</f>
        <v/>
      </c>
      <c r="T179" s="34" t="n"/>
    </row>
    <row r="180">
      <c r="A180" s="34" t="n"/>
      <c r="B180" s="45" t="n"/>
      <c r="C180" s="34" t="n"/>
      <c r="D180" s="34" t="n"/>
      <c r="E180" s="47" t="n"/>
      <c r="F180" s="34" t="n"/>
      <c r="G180" s="34" t="n"/>
      <c r="H180" s="34" t="n"/>
      <c r="I180" s="36" t="n"/>
      <c r="J180" s="46">
        <f>IF(G180="","",IFERROR(INDEX(Products!$B$2:$B$101,MATCH(G180,Products!$A$2:$A$101,0)),"Unknown SKU"))</f>
        <v/>
      </c>
      <c r="K180" s="34" t="n"/>
      <c r="L180" s="34" t="n"/>
      <c r="M180" s="36" t="n"/>
      <c r="N180" s="36" t="n"/>
      <c r="O180" s="44">
        <f>IF(OR(H180="",I180=""),"",H180*I180)</f>
        <v/>
      </c>
      <c r="P180" s="44">
        <f>IF(O180="","",O180*IFERROR(INDEX(Settings!$B$8:$B$15,MATCH(C180,Settings!$A$8:$A$15,0)),0))</f>
        <v/>
      </c>
      <c r="Q180" s="44">
        <f>IF(OR(G180="",H180=""),"",H180*IFERROR(INDEX(Products!$J$2:$J$101,MATCH(G180,Products!$A$2:$A$101,0)),0))</f>
        <v/>
      </c>
      <c r="R180" s="44">
        <f>IF(K180="Delivered",N(O180)+N(M180)-N(N180)-N(P180)-N(Q180),IF(OR(K180="Returned",K180="Failed delivery"),-N(N180),""))</f>
        <v/>
      </c>
      <c r="S180">
        <f>IF(E180="","",IF(MATCH(E180,$E$2:E180,0)&lt;ROWS($E$2:E180),"Repeat","New"))</f>
        <v/>
      </c>
      <c r="T180" s="34" t="n"/>
    </row>
    <row r="181">
      <c r="A181" s="34" t="n"/>
      <c r="B181" s="45" t="n"/>
      <c r="C181" s="34" t="n"/>
      <c r="D181" s="34" t="n"/>
      <c r="E181" s="47" t="n"/>
      <c r="F181" s="34" t="n"/>
      <c r="G181" s="34" t="n"/>
      <c r="H181" s="34" t="n"/>
      <c r="I181" s="36" t="n"/>
      <c r="J181" s="46">
        <f>IF(G181="","",IFERROR(INDEX(Products!$B$2:$B$101,MATCH(G181,Products!$A$2:$A$101,0)),"Unknown SKU"))</f>
        <v/>
      </c>
      <c r="K181" s="34" t="n"/>
      <c r="L181" s="34" t="n"/>
      <c r="M181" s="36" t="n"/>
      <c r="N181" s="36" t="n"/>
      <c r="O181" s="44">
        <f>IF(OR(H181="",I181=""),"",H181*I181)</f>
        <v/>
      </c>
      <c r="P181" s="44">
        <f>IF(O181="","",O181*IFERROR(INDEX(Settings!$B$8:$B$15,MATCH(C181,Settings!$A$8:$A$15,0)),0))</f>
        <v/>
      </c>
      <c r="Q181" s="44">
        <f>IF(OR(G181="",H181=""),"",H181*IFERROR(INDEX(Products!$J$2:$J$101,MATCH(G181,Products!$A$2:$A$101,0)),0))</f>
        <v/>
      </c>
      <c r="R181" s="44">
        <f>IF(K181="Delivered",N(O181)+N(M181)-N(N181)-N(P181)-N(Q181),IF(OR(K181="Returned",K181="Failed delivery"),-N(N181),""))</f>
        <v/>
      </c>
      <c r="S181">
        <f>IF(E181="","",IF(MATCH(E181,$E$2:E181,0)&lt;ROWS($E$2:E181),"Repeat","New"))</f>
        <v/>
      </c>
      <c r="T181" s="34" t="n"/>
    </row>
    <row r="182">
      <c r="A182" s="34" t="n"/>
      <c r="B182" s="45" t="n"/>
      <c r="C182" s="34" t="n"/>
      <c r="D182" s="34" t="n"/>
      <c r="E182" s="47" t="n"/>
      <c r="F182" s="34" t="n"/>
      <c r="G182" s="34" t="n"/>
      <c r="H182" s="34" t="n"/>
      <c r="I182" s="36" t="n"/>
      <c r="J182" s="46">
        <f>IF(G182="","",IFERROR(INDEX(Products!$B$2:$B$101,MATCH(G182,Products!$A$2:$A$101,0)),"Unknown SKU"))</f>
        <v/>
      </c>
      <c r="K182" s="34" t="n"/>
      <c r="L182" s="34" t="n"/>
      <c r="M182" s="36" t="n"/>
      <c r="N182" s="36" t="n"/>
      <c r="O182" s="44">
        <f>IF(OR(H182="",I182=""),"",H182*I182)</f>
        <v/>
      </c>
      <c r="P182" s="44">
        <f>IF(O182="","",O182*IFERROR(INDEX(Settings!$B$8:$B$15,MATCH(C182,Settings!$A$8:$A$15,0)),0))</f>
        <v/>
      </c>
      <c r="Q182" s="44">
        <f>IF(OR(G182="",H182=""),"",H182*IFERROR(INDEX(Products!$J$2:$J$101,MATCH(G182,Products!$A$2:$A$101,0)),0))</f>
        <v/>
      </c>
      <c r="R182" s="44">
        <f>IF(K182="Delivered",N(O182)+N(M182)-N(N182)-N(P182)-N(Q182),IF(OR(K182="Returned",K182="Failed delivery"),-N(N182),""))</f>
        <v/>
      </c>
      <c r="S182">
        <f>IF(E182="","",IF(MATCH(E182,$E$2:E182,0)&lt;ROWS($E$2:E182),"Repeat","New"))</f>
        <v/>
      </c>
      <c r="T182" s="34" t="n"/>
    </row>
    <row r="183">
      <c r="A183" s="34" t="n"/>
      <c r="B183" s="45" t="n"/>
      <c r="C183" s="34" t="n"/>
      <c r="D183" s="34" t="n"/>
      <c r="E183" s="47" t="n"/>
      <c r="F183" s="34" t="n"/>
      <c r="G183" s="34" t="n"/>
      <c r="H183" s="34" t="n"/>
      <c r="I183" s="36" t="n"/>
      <c r="J183" s="46">
        <f>IF(G183="","",IFERROR(INDEX(Products!$B$2:$B$101,MATCH(G183,Products!$A$2:$A$101,0)),"Unknown SKU"))</f>
        <v/>
      </c>
      <c r="K183" s="34" t="n"/>
      <c r="L183" s="34" t="n"/>
      <c r="M183" s="36" t="n"/>
      <c r="N183" s="36" t="n"/>
      <c r="O183" s="44">
        <f>IF(OR(H183="",I183=""),"",H183*I183)</f>
        <v/>
      </c>
      <c r="P183" s="44">
        <f>IF(O183="","",O183*IFERROR(INDEX(Settings!$B$8:$B$15,MATCH(C183,Settings!$A$8:$A$15,0)),0))</f>
        <v/>
      </c>
      <c r="Q183" s="44">
        <f>IF(OR(G183="",H183=""),"",H183*IFERROR(INDEX(Products!$J$2:$J$101,MATCH(G183,Products!$A$2:$A$101,0)),0))</f>
        <v/>
      </c>
      <c r="R183" s="44">
        <f>IF(K183="Delivered",N(O183)+N(M183)-N(N183)-N(P183)-N(Q183),IF(OR(K183="Returned",K183="Failed delivery"),-N(N183),""))</f>
        <v/>
      </c>
      <c r="S183">
        <f>IF(E183="","",IF(MATCH(E183,$E$2:E183,0)&lt;ROWS($E$2:E183),"Repeat","New"))</f>
        <v/>
      </c>
      <c r="T183" s="34" t="n"/>
    </row>
    <row r="184">
      <c r="A184" s="34" t="n"/>
      <c r="B184" s="45" t="n"/>
      <c r="C184" s="34" t="n"/>
      <c r="D184" s="34" t="n"/>
      <c r="E184" s="47" t="n"/>
      <c r="F184" s="34" t="n"/>
      <c r="G184" s="34" t="n"/>
      <c r="H184" s="34" t="n"/>
      <c r="I184" s="36" t="n"/>
      <c r="J184" s="46">
        <f>IF(G184="","",IFERROR(INDEX(Products!$B$2:$B$101,MATCH(G184,Products!$A$2:$A$101,0)),"Unknown SKU"))</f>
        <v/>
      </c>
      <c r="K184" s="34" t="n"/>
      <c r="L184" s="34" t="n"/>
      <c r="M184" s="36" t="n"/>
      <c r="N184" s="36" t="n"/>
      <c r="O184" s="44">
        <f>IF(OR(H184="",I184=""),"",H184*I184)</f>
        <v/>
      </c>
      <c r="P184" s="44">
        <f>IF(O184="","",O184*IFERROR(INDEX(Settings!$B$8:$B$15,MATCH(C184,Settings!$A$8:$A$15,0)),0))</f>
        <v/>
      </c>
      <c r="Q184" s="44">
        <f>IF(OR(G184="",H184=""),"",H184*IFERROR(INDEX(Products!$J$2:$J$101,MATCH(G184,Products!$A$2:$A$101,0)),0))</f>
        <v/>
      </c>
      <c r="R184" s="44">
        <f>IF(K184="Delivered",N(O184)+N(M184)-N(N184)-N(P184)-N(Q184),IF(OR(K184="Returned",K184="Failed delivery"),-N(N184),""))</f>
        <v/>
      </c>
      <c r="S184">
        <f>IF(E184="","",IF(MATCH(E184,$E$2:E184,0)&lt;ROWS($E$2:E184),"Repeat","New"))</f>
        <v/>
      </c>
      <c r="T184" s="34" t="n"/>
    </row>
    <row r="185">
      <c r="A185" s="34" t="n"/>
      <c r="B185" s="45" t="n"/>
      <c r="C185" s="34" t="n"/>
      <c r="D185" s="34" t="n"/>
      <c r="E185" s="47" t="n"/>
      <c r="F185" s="34" t="n"/>
      <c r="G185" s="34" t="n"/>
      <c r="H185" s="34" t="n"/>
      <c r="I185" s="36" t="n"/>
      <c r="J185" s="46">
        <f>IF(G185="","",IFERROR(INDEX(Products!$B$2:$B$101,MATCH(G185,Products!$A$2:$A$101,0)),"Unknown SKU"))</f>
        <v/>
      </c>
      <c r="K185" s="34" t="n"/>
      <c r="L185" s="34" t="n"/>
      <c r="M185" s="36" t="n"/>
      <c r="N185" s="36" t="n"/>
      <c r="O185" s="44">
        <f>IF(OR(H185="",I185=""),"",H185*I185)</f>
        <v/>
      </c>
      <c r="P185" s="44">
        <f>IF(O185="","",O185*IFERROR(INDEX(Settings!$B$8:$B$15,MATCH(C185,Settings!$A$8:$A$15,0)),0))</f>
        <v/>
      </c>
      <c r="Q185" s="44">
        <f>IF(OR(G185="",H185=""),"",H185*IFERROR(INDEX(Products!$J$2:$J$101,MATCH(G185,Products!$A$2:$A$101,0)),0))</f>
        <v/>
      </c>
      <c r="R185" s="44">
        <f>IF(K185="Delivered",N(O185)+N(M185)-N(N185)-N(P185)-N(Q185),IF(OR(K185="Returned",K185="Failed delivery"),-N(N185),""))</f>
        <v/>
      </c>
      <c r="S185">
        <f>IF(E185="","",IF(MATCH(E185,$E$2:E185,0)&lt;ROWS($E$2:E185),"Repeat","New"))</f>
        <v/>
      </c>
      <c r="T185" s="34" t="n"/>
    </row>
    <row r="186">
      <c r="A186" s="34" t="n"/>
      <c r="B186" s="45" t="n"/>
      <c r="C186" s="34" t="n"/>
      <c r="D186" s="34" t="n"/>
      <c r="E186" s="47" t="n"/>
      <c r="F186" s="34" t="n"/>
      <c r="G186" s="34" t="n"/>
      <c r="H186" s="34" t="n"/>
      <c r="I186" s="36" t="n"/>
      <c r="J186" s="46">
        <f>IF(G186="","",IFERROR(INDEX(Products!$B$2:$B$101,MATCH(G186,Products!$A$2:$A$101,0)),"Unknown SKU"))</f>
        <v/>
      </c>
      <c r="K186" s="34" t="n"/>
      <c r="L186" s="34" t="n"/>
      <c r="M186" s="36" t="n"/>
      <c r="N186" s="36" t="n"/>
      <c r="O186" s="44">
        <f>IF(OR(H186="",I186=""),"",H186*I186)</f>
        <v/>
      </c>
      <c r="P186" s="44">
        <f>IF(O186="","",O186*IFERROR(INDEX(Settings!$B$8:$B$15,MATCH(C186,Settings!$A$8:$A$15,0)),0))</f>
        <v/>
      </c>
      <c r="Q186" s="44">
        <f>IF(OR(G186="",H186=""),"",H186*IFERROR(INDEX(Products!$J$2:$J$101,MATCH(G186,Products!$A$2:$A$101,0)),0))</f>
        <v/>
      </c>
      <c r="R186" s="44">
        <f>IF(K186="Delivered",N(O186)+N(M186)-N(N186)-N(P186)-N(Q186),IF(OR(K186="Returned",K186="Failed delivery"),-N(N186),""))</f>
        <v/>
      </c>
      <c r="S186">
        <f>IF(E186="","",IF(MATCH(E186,$E$2:E186,0)&lt;ROWS($E$2:E186),"Repeat","New"))</f>
        <v/>
      </c>
      <c r="T186" s="34" t="n"/>
    </row>
    <row r="187">
      <c r="A187" s="34" t="n"/>
      <c r="B187" s="45" t="n"/>
      <c r="C187" s="34" t="n"/>
      <c r="D187" s="34" t="n"/>
      <c r="E187" s="47" t="n"/>
      <c r="F187" s="34" t="n"/>
      <c r="G187" s="34" t="n"/>
      <c r="H187" s="34" t="n"/>
      <c r="I187" s="36" t="n"/>
      <c r="J187" s="46">
        <f>IF(G187="","",IFERROR(INDEX(Products!$B$2:$B$101,MATCH(G187,Products!$A$2:$A$101,0)),"Unknown SKU"))</f>
        <v/>
      </c>
      <c r="K187" s="34" t="n"/>
      <c r="L187" s="34" t="n"/>
      <c r="M187" s="36" t="n"/>
      <c r="N187" s="36" t="n"/>
      <c r="O187" s="44">
        <f>IF(OR(H187="",I187=""),"",H187*I187)</f>
        <v/>
      </c>
      <c r="P187" s="44">
        <f>IF(O187="","",O187*IFERROR(INDEX(Settings!$B$8:$B$15,MATCH(C187,Settings!$A$8:$A$15,0)),0))</f>
        <v/>
      </c>
      <c r="Q187" s="44">
        <f>IF(OR(G187="",H187=""),"",H187*IFERROR(INDEX(Products!$J$2:$J$101,MATCH(G187,Products!$A$2:$A$101,0)),0))</f>
        <v/>
      </c>
      <c r="R187" s="44">
        <f>IF(K187="Delivered",N(O187)+N(M187)-N(N187)-N(P187)-N(Q187),IF(OR(K187="Returned",K187="Failed delivery"),-N(N187),""))</f>
        <v/>
      </c>
      <c r="S187">
        <f>IF(E187="","",IF(MATCH(E187,$E$2:E187,0)&lt;ROWS($E$2:E187),"Repeat","New"))</f>
        <v/>
      </c>
      <c r="T187" s="34" t="n"/>
    </row>
    <row r="188">
      <c r="A188" s="34" t="n"/>
      <c r="B188" s="45" t="n"/>
      <c r="C188" s="34" t="n"/>
      <c r="D188" s="34" t="n"/>
      <c r="E188" s="47" t="n"/>
      <c r="F188" s="34" t="n"/>
      <c r="G188" s="34" t="n"/>
      <c r="H188" s="34" t="n"/>
      <c r="I188" s="36" t="n"/>
      <c r="J188" s="46">
        <f>IF(G188="","",IFERROR(INDEX(Products!$B$2:$B$101,MATCH(G188,Products!$A$2:$A$101,0)),"Unknown SKU"))</f>
        <v/>
      </c>
      <c r="K188" s="34" t="n"/>
      <c r="L188" s="34" t="n"/>
      <c r="M188" s="36" t="n"/>
      <c r="N188" s="36" t="n"/>
      <c r="O188" s="44">
        <f>IF(OR(H188="",I188=""),"",H188*I188)</f>
        <v/>
      </c>
      <c r="P188" s="44">
        <f>IF(O188="","",O188*IFERROR(INDEX(Settings!$B$8:$B$15,MATCH(C188,Settings!$A$8:$A$15,0)),0))</f>
        <v/>
      </c>
      <c r="Q188" s="44">
        <f>IF(OR(G188="",H188=""),"",H188*IFERROR(INDEX(Products!$J$2:$J$101,MATCH(G188,Products!$A$2:$A$101,0)),0))</f>
        <v/>
      </c>
      <c r="R188" s="44">
        <f>IF(K188="Delivered",N(O188)+N(M188)-N(N188)-N(P188)-N(Q188),IF(OR(K188="Returned",K188="Failed delivery"),-N(N188),""))</f>
        <v/>
      </c>
      <c r="S188">
        <f>IF(E188="","",IF(MATCH(E188,$E$2:E188,0)&lt;ROWS($E$2:E188),"Repeat","New"))</f>
        <v/>
      </c>
      <c r="T188" s="34" t="n"/>
    </row>
    <row r="189">
      <c r="A189" s="34" t="n"/>
      <c r="B189" s="45" t="n"/>
      <c r="C189" s="34" t="n"/>
      <c r="D189" s="34" t="n"/>
      <c r="E189" s="47" t="n"/>
      <c r="F189" s="34" t="n"/>
      <c r="G189" s="34" t="n"/>
      <c r="H189" s="34" t="n"/>
      <c r="I189" s="36" t="n"/>
      <c r="J189" s="46">
        <f>IF(G189="","",IFERROR(INDEX(Products!$B$2:$B$101,MATCH(G189,Products!$A$2:$A$101,0)),"Unknown SKU"))</f>
        <v/>
      </c>
      <c r="K189" s="34" t="n"/>
      <c r="L189" s="34" t="n"/>
      <c r="M189" s="36" t="n"/>
      <c r="N189" s="36" t="n"/>
      <c r="O189" s="44">
        <f>IF(OR(H189="",I189=""),"",H189*I189)</f>
        <v/>
      </c>
      <c r="P189" s="44">
        <f>IF(O189="","",O189*IFERROR(INDEX(Settings!$B$8:$B$15,MATCH(C189,Settings!$A$8:$A$15,0)),0))</f>
        <v/>
      </c>
      <c r="Q189" s="44">
        <f>IF(OR(G189="",H189=""),"",H189*IFERROR(INDEX(Products!$J$2:$J$101,MATCH(G189,Products!$A$2:$A$101,0)),0))</f>
        <v/>
      </c>
      <c r="R189" s="44">
        <f>IF(K189="Delivered",N(O189)+N(M189)-N(N189)-N(P189)-N(Q189),IF(OR(K189="Returned",K189="Failed delivery"),-N(N189),""))</f>
        <v/>
      </c>
      <c r="S189">
        <f>IF(E189="","",IF(MATCH(E189,$E$2:E189,0)&lt;ROWS($E$2:E189),"Repeat","New"))</f>
        <v/>
      </c>
      <c r="T189" s="34" t="n"/>
    </row>
    <row r="190">
      <c r="A190" s="34" t="n"/>
      <c r="B190" s="45" t="n"/>
      <c r="C190" s="34" t="n"/>
      <c r="D190" s="34" t="n"/>
      <c r="E190" s="47" t="n"/>
      <c r="F190" s="34" t="n"/>
      <c r="G190" s="34" t="n"/>
      <c r="H190" s="34" t="n"/>
      <c r="I190" s="36" t="n"/>
      <c r="J190" s="46">
        <f>IF(G190="","",IFERROR(INDEX(Products!$B$2:$B$101,MATCH(G190,Products!$A$2:$A$101,0)),"Unknown SKU"))</f>
        <v/>
      </c>
      <c r="K190" s="34" t="n"/>
      <c r="L190" s="34" t="n"/>
      <c r="M190" s="36" t="n"/>
      <c r="N190" s="36" t="n"/>
      <c r="O190" s="44">
        <f>IF(OR(H190="",I190=""),"",H190*I190)</f>
        <v/>
      </c>
      <c r="P190" s="44">
        <f>IF(O190="","",O190*IFERROR(INDEX(Settings!$B$8:$B$15,MATCH(C190,Settings!$A$8:$A$15,0)),0))</f>
        <v/>
      </c>
      <c r="Q190" s="44">
        <f>IF(OR(G190="",H190=""),"",H190*IFERROR(INDEX(Products!$J$2:$J$101,MATCH(G190,Products!$A$2:$A$101,0)),0))</f>
        <v/>
      </c>
      <c r="R190" s="44">
        <f>IF(K190="Delivered",N(O190)+N(M190)-N(N190)-N(P190)-N(Q190),IF(OR(K190="Returned",K190="Failed delivery"),-N(N190),""))</f>
        <v/>
      </c>
      <c r="S190">
        <f>IF(E190="","",IF(MATCH(E190,$E$2:E190,0)&lt;ROWS($E$2:E190),"Repeat","New"))</f>
        <v/>
      </c>
      <c r="T190" s="34" t="n"/>
    </row>
    <row r="191">
      <c r="A191" s="34" t="n"/>
      <c r="B191" s="45" t="n"/>
      <c r="C191" s="34" t="n"/>
      <c r="D191" s="34" t="n"/>
      <c r="E191" s="47" t="n"/>
      <c r="F191" s="34" t="n"/>
      <c r="G191" s="34" t="n"/>
      <c r="H191" s="34" t="n"/>
      <c r="I191" s="36" t="n"/>
      <c r="J191" s="46">
        <f>IF(G191="","",IFERROR(INDEX(Products!$B$2:$B$101,MATCH(G191,Products!$A$2:$A$101,0)),"Unknown SKU"))</f>
        <v/>
      </c>
      <c r="K191" s="34" t="n"/>
      <c r="L191" s="34" t="n"/>
      <c r="M191" s="36" t="n"/>
      <c r="N191" s="36" t="n"/>
      <c r="O191" s="44">
        <f>IF(OR(H191="",I191=""),"",H191*I191)</f>
        <v/>
      </c>
      <c r="P191" s="44">
        <f>IF(O191="","",O191*IFERROR(INDEX(Settings!$B$8:$B$15,MATCH(C191,Settings!$A$8:$A$15,0)),0))</f>
        <v/>
      </c>
      <c r="Q191" s="44">
        <f>IF(OR(G191="",H191=""),"",H191*IFERROR(INDEX(Products!$J$2:$J$101,MATCH(G191,Products!$A$2:$A$101,0)),0))</f>
        <v/>
      </c>
      <c r="R191" s="44">
        <f>IF(K191="Delivered",N(O191)+N(M191)-N(N191)-N(P191)-N(Q191),IF(OR(K191="Returned",K191="Failed delivery"),-N(N191),""))</f>
        <v/>
      </c>
      <c r="S191">
        <f>IF(E191="","",IF(MATCH(E191,$E$2:E191,0)&lt;ROWS($E$2:E191),"Repeat","New"))</f>
        <v/>
      </c>
      <c r="T191" s="34" t="n"/>
    </row>
    <row r="192">
      <c r="A192" s="34" t="n"/>
      <c r="B192" s="45" t="n"/>
      <c r="C192" s="34" t="n"/>
      <c r="D192" s="34" t="n"/>
      <c r="E192" s="47" t="n"/>
      <c r="F192" s="34" t="n"/>
      <c r="G192" s="34" t="n"/>
      <c r="H192" s="34" t="n"/>
      <c r="I192" s="36" t="n"/>
      <c r="J192" s="46">
        <f>IF(G192="","",IFERROR(INDEX(Products!$B$2:$B$101,MATCH(G192,Products!$A$2:$A$101,0)),"Unknown SKU"))</f>
        <v/>
      </c>
      <c r="K192" s="34" t="n"/>
      <c r="L192" s="34" t="n"/>
      <c r="M192" s="36" t="n"/>
      <c r="N192" s="36" t="n"/>
      <c r="O192" s="44">
        <f>IF(OR(H192="",I192=""),"",H192*I192)</f>
        <v/>
      </c>
      <c r="P192" s="44">
        <f>IF(O192="","",O192*IFERROR(INDEX(Settings!$B$8:$B$15,MATCH(C192,Settings!$A$8:$A$15,0)),0))</f>
        <v/>
      </c>
      <c r="Q192" s="44">
        <f>IF(OR(G192="",H192=""),"",H192*IFERROR(INDEX(Products!$J$2:$J$101,MATCH(G192,Products!$A$2:$A$101,0)),0))</f>
        <v/>
      </c>
      <c r="R192" s="44">
        <f>IF(K192="Delivered",N(O192)+N(M192)-N(N192)-N(P192)-N(Q192),IF(OR(K192="Returned",K192="Failed delivery"),-N(N192),""))</f>
        <v/>
      </c>
      <c r="S192">
        <f>IF(E192="","",IF(MATCH(E192,$E$2:E192,0)&lt;ROWS($E$2:E192),"Repeat","New"))</f>
        <v/>
      </c>
      <c r="T192" s="34" t="n"/>
    </row>
    <row r="193">
      <c r="A193" s="34" t="n"/>
      <c r="B193" s="45" t="n"/>
      <c r="C193" s="34" t="n"/>
      <c r="D193" s="34" t="n"/>
      <c r="E193" s="47" t="n"/>
      <c r="F193" s="34" t="n"/>
      <c r="G193" s="34" t="n"/>
      <c r="H193" s="34" t="n"/>
      <c r="I193" s="36" t="n"/>
      <c r="J193" s="46">
        <f>IF(G193="","",IFERROR(INDEX(Products!$B$2:$B$101,MATCH(G193,Products!$A$2:$A$101,0)),"Unknown SKU"))</f>
        <v/>
      </c>
      <c r="K193" s="34" t="n"/>
      <c r="L193" s="34" t="n"/>
      <c r="M193" s="36" t="n"/>
      <c r="N193" s="36" t="n"/>
      <c r="O193" s="44">
        <f>IF(OR(H193="",I193=""),"",H193*I193)</f>
        <v/>
      </c>
      <c r="P193" s="44">
        <f>IF(O193="","",O193*IFERROR(INDEX(Settings!$B$8:$B$15,MATCH(C193,Settings!$A$8:$A$15,0)),0))</f>
        <v/>
      </c>
      <c r="Q193" s="44">
        <f>IF(OR(G193="",H193=""),"",H193*IFERROR(INDEX(Products!$J$2:$J$101,MATCH(G193,Products!$A$2:$A$101,0)),0))</f>
        <v/>
      </c>
      <c r="R193" s="44">
        <f>IF(K193="Delivered",N(O193)+N(M193)-N(N193)-N(P193)-N(Q193),IF(OR(K193="Returned",K193="Failed delivery"),-N(N193),""))</f>
        <v/>
      </c>
      <c r="S193">
        <f>IF(E193="","",IF(MATCH(E193,$E$2:E193,0)&lt;ROWS($E$2:E193),"Repeat","New"))</f>
        <v/>
      </c>
      <c r="T193" s="34" t="n"/>
    </row>
    <row r="194">
      <c r="A194" s="34" t="n"/>
      <c r="B194" s="45" t="n"/>
      <c r="C194" s="34" t="n"/>
      <c r="D194" s="34" t="n"/>
      <c r="E194" s="47" t="n"/>
      <c r="F194" s="34" t="n"/>
      <c r="G194" s="34" t="n"/>
      <c r="H194" s="34" t="n"/>
      <c r="I194" s="36" t="n"/>
      <c r="J194" s="46">
        <f>IF(G194="","",IFERROR(INDEX(Products!$B$2:$B$101,MATCH(G194,Products!$A$2:$A$101,0)),"Unknown SKU"))</f>
        <v/>
      </c>
      <c r="K194" s="34" t="n"/>
      <c r="L194" s="34" t="n"/>
      <c r="M194" s="36" t="n"/>
      <c r="N194" s="36" t="n"/>
      <c r="O194" s="44">
        <f>IF(OR(H194="",I194=""),"",H194*I194)</f>
        <v/>
      </c>
      <c r="P194" s="44">
        <f>IF(O194="","",O194*IFERROR(INDEX(Settings!$B$8:$B$15,MATCH(C194,Settings!$A$8:$A$15,0)),0))</f>
        <v/>
      </c>
      <c r="Q194" s="44">
        <f>IF(OR(G194="",H194=""),"",H194*IFERROR(INDEX(Products!$J$2:$J$101,MATCH(G194,Products!$A$2:$A$101,0)),0))</f>
        <v/>
      </c>
      <c r="R194" s="44">
        <f>IF(K194="Delivered",N(O194)+N(M194)-N(N194)-N(P194)-N(Q194),IF(OR(K194="Returned",K194="Failed delivery"),-N(N194),""))</f>
        <v/>
      </c>
      <c r="S194">
        <f>IF(E194="","",IF(MATCH(E194,$E$2:E194,0)&lt;ROWS($E$2:E194),"Repeat","New"))</f>
        <v/>
      </c>
      <c r="T194" s="34" t="n"/>
    </row>
    <row r="195">
      <c r="A195" s="34" t="n"/>
      <c r="B195" s="45" t="n"/>
      <c r="C195" s="34" t="n"/>
      <c r="D195" s="34" t="n"/>
      <c r="E195" s="47" t="n"/>
      <c r="F195" s="34" t="n"/>
      <c r="G195" s="34" t="n"/>
      <c r="H195" s="34" t="n"/>
      <c r="I195" s="36" t="n"/>
      <c r="J195" s="46">
        <f>IF(G195="","",IFERROR(INDEX(Products!$B$2:$B$101,MATCH(G195,Products!$A$2:$A$101,0)),"Unknown SKU"))</f>
        <v/>
      </c>
      <c r="K195" s="34" t="n"/>
      <c r="L195" s="34" t="n"/>
      <c r="M195" s="36" t="n"/>
      <c r="N195" s="36" t="n"/>
      <c r="O195" s="44">
        <f>IF(OR(H195="",I195=""),"",H195*I195)</f>
        <v/>
      </c>
      <c r="P195" s="44">
        <f>IF(O195="","",O195*IFERROR(INDEX(Settings!$B$8:$B$15,MATCH(C195,Settings!$A$8:$A$15,0)),0))</f>
        <v/>
      </c>
      <c r="Q195" s="44">
        <f>IF(OR(G195="",H195=""),"",H195*IFERROR(INDEX(Products!$J$2:$J$101,MATCH(G195,Products!$A$2:$A$101,0)),0))</f>
        <v/>
      </c>
      <c r="R195" s="44">
        <f>IF(K195="Delivered",N(O195)+N(M195)-N(N195)-N(P195)-N(Q195),IF(OR(K195="Returned",K195="Failed delivery"),-N(N195),""))</f>
        <v/>
      </c>
      <c r="S195">
        <f>IF(E195="","",IF(MATCH(E195,$E$2:E195,0)&lt;ROWS($E$2:E195),"Repeat","New"))</f>
        <v/>
      </c>
      <c r="T195" s="34" t="n"/>
    </row>
    <row r="196">
      <c r="A196" s="34" t="n"/>
      <c r="B196" s="45" t="n"/>
      <c r="C196" s="34" t="n"/>
      <c r="D196" s="34" t="n"/>
      <c r="E196" s="47" t="n"/>
      <c r="F196" s="34" t="n"/>
      <c r="G196" s="34" t="n"/>
      <c r="H196" s="34" t="n"/>
      <c r="I196" s="36" t="n"/>
      <c r="J196" s="46">
        <f>IF(G196="","",IFERROR(INDEX(Products!$B$2:$B$101,MATCH(G196,Products!$A$2:$A$101,0)),"Unknown SKU"))</f>
        <v/>
      </c>
      <c r="K196" s="34" t="n"/>
      <c r="L196" s="34" t="n"/>
      <c r="M196" s="36" t="n"/>
      <c r="N196" s="36" t="n"/>
      <c r="O196" s="44">
        <f>IF(OR(H196="",I196=""),"",H196*I196)</f>
        <v/>
      </c>
      <c r="P196" s="44">
        <f>IF(O196="","",O196*IFERROR(INDEX(Settings!$B$8:$B$15,MATCH(C196,Settings!$A$8:$A$15,0)),0))</f>
        <v/>
      </c>
      <c r="Q196" s="44">
        <f>IF(OR(G196="",H196=""),"",H196*IFERROR(INDEX(Products!$J$2:$J$101,MATCH(G196,Products!$A$2:$A$101,0)),0))</f>
        <v/>
      </c>
      <c r="R196" s="44">
        <f>IF(K196="Delivered",N(O196)+N(M196)-N(N196)-N(P196)-N(Q196),IF(OR(K196="Returned",K196="Failed delivery"),-N(N196),""))</f>
        <v/>
      </c>
      <c r="S196">
        <f>IF(E196="","",IF(MATCH(E196,$E$2:E196,0)&lt;ROWS($E$2:E196),"Repeat","New"))</f>
        <v/>
      </c>
      <c r="T196" s="34" t="n"/>
    </row>
    <row r="197">
      <c r="A197" s="34" t="n"/>
      <c r="B197" s="45" t="n"/>
      <c r="C197" s="34" t="n"/>
      <c r="D197" s="34" t="n"/>
      <c r="E197" s="47" t="n"/>
      <c r="F197" s="34" t="n"/>
      <c r="G197" s="34" t="n"/>
      <c r="H197" s="34" t="n"/>
      <c r="I197" s="36" t="n"/>
      <c r="J197" s="46">
        <f>IF(G197="","",IFERROR(INDEX(Products!$B$2:$B$101,MATCH(G197,Products!$A$2:$A$101,0)),"Unknown SKU"))</f>
        <v/>
      </c>
      <c r="K197" s="34" t="n"/>
      <c r="L197" s="34" t="n"/>
      <c r="M197" s="36" t="n"/>
      <c r="N197" s="36" t="n"/>
      <c r="O197" s="44">
        <f>IF(OR(H197="",I197=""),"",H197*I197)</f>
        <v/>
      </c>
      <c r="P197" s="44">
        <f>IF(O197="","",O197*IFERROR(INDEX(Settings!$B$8:$B$15,MATCH(C197,Settings!$A$8:$A$15,0)),0))</f>
        <v/>
      </c>
      <c r="Q197" s="44">
        <f>IF(OR(G197="",H197=""),"",H197*IFERROR(INDEX(Products!$J$2:$J$101,MATCH(G197,Products!$A$2:$A$101,0)),0))</f>
        <v/>
      </c>
      <c r="R197" s="44">
        <f>IF(K197="Delivered",N(O197)+N(M197)-N(N197)-N(P197)-N(Q197),IF(OR(K197="Returned",K197="Failed delivery"),-N(N197),""))</f>
        <v/>
      </c>
      <c r="S197">
        <f>IF(E197="","",IF(MATCH(E197,$E$2:E197,0)&lt;ROWS($E$2:E197),"Repeat","New"))</f>
        <v/>
      </c>
      <c r="T197" s="34" t="n"/>
    </row>
    <row r="198">
      <c r="A198" s="34" t="n"/>
      <c r="B198" s="45" t="n"/>
      <c r="C198" s="34" t="n"/>
      <c r="D198" s="34" t="n"/>
      <c r="E198" s="47" t="n"/>
      <c r="F198" s="34" t="n"/>
      <c r="G198" s="34" t="n"/>
      <c r="H198" s="34" t="n"/>
      <c r="I198" s="36" t="n"/>
      <c r="J198" s="46">
        <f>IF(G198="","",IFERROR(INDEX(Products!$B$2:$B$101,MATCH(G198,Products!$A$2:$A$101,0)),"Unknown SKU"))</f>
        <v/>
      </c>
      <c r="K198" s="34" t="n"/>
      <c r="L198" s="34" t="n"/>
      <c r="M198" s="36" t="n"/>
      <c r="N198" s="36" t="n"/>
      <c r="O198" s="44">
        <f>IF(OR(H198="",I198=""),"",H198*I198)</f>
        <v/>
      </c>
      <c r="P198" s="44">
        <f>IF(O198="","",O198*IFERROR(INDEX(Settings!$B$8:$B$15,MATCH(C198,Settings!$A$8:$A$15,0)),0))</f>
        <v/>
      </c>
      <c r="Q198" s="44">
        <f>IF(OR(G198="",H198=""),"",H198*IFERROR(INDEX(Products!$J$2:$J$101,MATCH(G198,Products!$A$2:$A$101,0)),0))</f>
        <v/>
      </c>
      <c r="R198" s="44">
        <f>IF(K198="Delivered",N(O198)+N(M198)-N(N198)-N(P198)-N(Q198),IF(OR(K198="Returned",K198="Failed delivery"),-N(N198),""))</f>
        <v/>
      </c>
      <c r="S198">
        <f>IF(E198="","",IF(MATCH(E198,$E$2:E198,0)&lt;ROWS($E$2:E198),"Repeat","New"))</f>
        <v/>
      </c>
      <c r="T198" s="34" t="n"/>
    </row>
    <row r="199">
      <c r="A199" s="34" t="n"/>
      <c r="B199" s="45" t="n"/>
      <c r="C199" s="34" t="n"/>
      <c r="D199" s="34" t="n"/>
      <c r="E199" s="47" t="n"/>
      <c r="F199" s="34" t="n"/>
      <c r="G199" s="34" t="n"/>
      <c r="H199" s="34" t="n"/>
      <c r="I199" s="36" t="n"/>
      <c r="J199" s="46">
        <f>IF(G199="","",IFERROR(INDEX(Products!$B$2:$B$101,MATCH(G199,Products!$A$2:$A$101,0)),"Unknown SKU"))</f>
        <v/>
      </c>
      <c r="K199" s="34" t="n"/>
      <c r="L199" s="34" t="n"/>
      <c r="M199" s="36" t="n"/>
      <c r="N199" s="36" t="n"/>
      <c r="O199" s="44">
        <f>IF(OR(H199="",I199=""),"",H199*I199)</f>
        <v/>
      </c>
      <c r="P199" s="44">
        <f>IF(O199="","",O199*IFERROR(INDEX(Settings!$B$8:$B$15,MATCH(C199,Settings!$A$8:$A$15,0)),0))</f>
        <v/>
      </c>
      <c r="Q199" s="44">
        <f>IF(OR(G199="",H199=""),"",H199*IFERROR(INDEX(Products!$J$2:$J$101,MATCH(G199,Products!$A$2:$A$101,0)),0))</f>
        <v/>
      </c>
      <c r="R199" s="44">
        <f>IF(K199="Delivered",N(O199)+N(M199)-N(N199)-N(P199)-N(Q199),IF(OR(K199="Returned",K199="Failed delivery"),-N(N199),""))</f>
        <v/>
      </c>
      <c r="S199">
        <f>IF(E199="","",IF(MATCH(E199,$E$2:E199,0)&lt;ROWS($E$2:E199),"Repeat","New"))</f>
        <v/>
      </c>
      <c r="T199" s="34" t="n"/>
    </row>
    <row r="200">
      <c r="A200" s="34" t="n"/>
      <c r="B200" s="45" t="n"/>
      <c r="C200" s="34" t="n"/>
      <c r="D200" s="34" t="n"/>
      <c r="E200" s="47" t="n"/>
      <c r="F200" s="34" t="n"/>
      <c r="G200" s="34" t="n"/>
      <c r="H200" s="34" t="n"/>
      <c r="I200" s="36" t="n"/>
      <c r="J200" s="46">
        <f>IF(G200="","",IFERROR(INDEX(Products!$B$2:$B$101,MATCH(G200,Products!$A$2:$A$101,0)),"Unknown SKU"))</f>
        <v/>
      </c>
      <c r="K200" s="34" t="n"/>
      <c r="L200" s="34" t="n"/>
      <c r="M200" s="36" t="n"/>
      <c r="N200" s="36" t="n"/>
      <c r="O200" s="44">
        <f>IF(OR(H200="",I200=""),"",H200*I200)</f>
        <v/>
      </c>
      <c r="P200" s="44">
        <f>IF(O200="","",O200*IFERROR(INDEX(Settings!$B$8:$B$15,MATCH(C200,Settings!$A$8:$A$15,0)),0))</f>
        <v/>
      </c>
      <c r="Q200" s="44">
        <f>IF(OR(G200="",H200=""),"",H200*IFERROR(INDEX(Products!$J$2:$J$101,MATCH(G200,Products!$A$2:$A$101,0)),0))</f>
        <v/>
      </c>
      <c r="R200" s="44">
        <f>IF(K200="Delivered",N(O200)+N(M200)-N(N200)-N(P200)-N(Q200),IF(OR(K200="Returned",K200="Failed delivery"),-N(N200),""))</f>
        <v/>
      </c>
      <c r="S200">
        <f>IF(E200="","",IF(MATCH(E200,$E$2:E200,0)&lt;ROWS($E$2:E200),"Repeat","New"))</f>
        <v/>
      </c>
      <c r="T200" s="34" t="n"/>
    </row>
    <row r="201">
      <c r="A201" s="34" t="n"/>
      <c r="B201" s="45" t="n"/>
      <c r="C201" s="34" t="n"/>
      <c r="D201" s="34" t="n"/>
      <c r="E201" s="47" t="n"/>
      <c r="F201" s="34" t="n"/>
      <c r="G201" s="34" t="n"/>
      <c r="H201" s="34" t="n"/>
      <c r="I201" s="36" t="n"/>
      <c r="J201" s="46">
        <f>IF(G201="","",IFERROR(INDEX(Products!$B$2:$B$101,MATCH(G201,Products!$A$2:$A$101,0)),"Unknown SKU"))</f>
        <v/>
      </c>
      <c r="K201" s="34" t="n"/>
      <c r="L201" s="34" t="n"/>
      <c r="M201" s="36" t="n"/>
      <c r="N201" s="36" t="n"/>
      <c r="O201" s="44">
        <f>IF(OR(H201="",I201=""),"",H201*I201)</f>
        <v/>
      </c>
      <c r="P201" s="44">
        <f>IF(O201="","",O201*IFERROR(INDEX(Settings!$B$8:$B$15,MATCH(C201,Settings!$A$8:$A$15,0)),0))</f>
        <v/>
      </c>
      <c r="Q201" s="44">
        <f>IF(OR(G201="",H201=""),"",H201*IFERROR(INDEX(Products!$J$2:$J$101,MATCH(G201,Products!$A$2:$A$101,0)),0))</f>
        <v/>
      </c>
      <c r="R201" s="44">
        <f>IF(K201="Delivered",N(O201)+N(M201)-N(N201)-N(P201)-N(Q201),IF(OR(K201="Returned",K201="Failed delivery"),-N(N201),""))</f>
        <v/>
      </c>
      <c r="S201">
        <f>IF(E201="","",IF(MATCH(E201,$E$2:E201,0)&lt;ROWS($E$2:E201),"Repeat","New"))</f>
        <v/>
      </c>
      <c r="T201" s="34" t="n"/>
    </row>
    <row r="202">
      <c r="A202" s="34" t="n"/>
      <c r="B202" s="45" t="n"/>
      <c r="C202" s="34" t="n"/>
      <c r="D202" s="34" t="n"/>
      <c r="E202" s="47" t="n"/>
      <c r="F202" s="34" t="n"/>
      <c r="G202" s="34" t="n"/>
      <c r="H202" s="34" t="n"/>
      <c r="I202" s="36" t="n"/>
      <c r="J202" s="46">
        <f>IF(G202="","",IFERROR(INDEX(Products!$B$2:$B$101,MATCH(G202,Products!$A$2:$A$101,0)),"Unknown SKU"))</f>
        <v/>
      </c>
      <c r="K202" s="34" t="n"/>
      <c r="L202" s="34" t="n"/>
      <c r="M202" s="36" t="n"/>
      <c r="N202" s="36" t="n"/>
      <c r="O202" s="44">
        <f>IF(OR(H202="",I202=""),"",H202*I202)</f>
        <v/>
      </c>
      <c r="P202" s="44">
        <f>IF(O202="","",O202*IFERROR(INDEX(Settings!$B$8:$B$15,MATCH(C202,Settings!$A$8:$A$15,0)),0))</f>
        <v/>
      </c>
      <c r="Q202" s="44">
        <f>IF(OR(G202="",H202=""),"",H202*IFERROR(INDEX(Products!$J$2:$J$101,MATCH(G202,Products!$A$2:$A$101,0)),0))</f>
        <v/>
      </c>
      <c r="R202" s="44">
        <f>IF(K202="Delivered",N(O202)+N(M202)-N(N202)-N(P202)-N(Q202),IF(OR(K202="Returned",K202="Failed delivery"),-N(N202),""))</f>
        <v/>
      </c>
      <c r="S202">
        <f>IF(E202="","",IF(MATCH(E202,$E$2:E202,0)&lt;ROWS($E$2:E202),"Repeat","New"))</f>
        <v/>
      </c>
      <c r="T202" s="34" t="n"/>
    </row>
    <row r="203">
      <c r="A203" s="34" t="n"/>
      <c r="B203" s="45" t="n"/>
      <c r="C203" s="34" t="n"/>
      <c r="D203" s="34" t="n"/>
      <c r="E203" s="47" t="n"/>
      <c r="F203" s="34" t="n"/>
      <c r="G203" s="34" t="n"/>
      <c r="H203" s="34" t="n"/>
      <c r="I203" s="36" t="n"/>
      <c r="J203" s="46">
        <f>IF(G203="","",IFERROR(INDEX(Products!$B$2:$B$101,MATCH(G203,Products!$A$2:$A$101,0)),"Unknown SKU"))</f>
        <v/>
      </c>
      <c r="K203" s="34" t="n"/>
      <c r="L203" s="34" t="n"/>
      <c r="M203" s="36" t="n"/>
      <c r="N203" s="36" t="n"/>
      <c r="O203" s="44">
        <f>IF(OR(H203="",I203=""),"",H203*I203)</f>
        <v/>
      </c>
      <c r="P203" s="44">
        <f>IF(O203="","",O203*IFERROR(INDEX(Settings!$B$8:$B$15,MATCH(C203,Settings!$A$8:$A$15,0)),0))</f>
        <v/>
      </c>
      <c r="Q203" s="44">
        <f>IF(OR(G203="",H203=""),"",H203*IFERROR(INDEX(Products!$J$2:$J$101,MATCH(G203,Products!$A$2:$A$101,0)),0))</f>
        <v/>
      </c>
      <c r="R203" s="44">
        <f>IF(K203="Delivered",N(O203)+N(M203)-N(N203)-N(P203)-N(Q203),IF(OR(K203="Returned",K203="Failed delivery"),-N(N203),""))</f>
        <v/>
      </c>
      <c r="S203">
        <f>IF(E203="","",IF(MATCH(E203,$E$2:E203,0)&lt;ROWS($E$2:E203),"Repeat","New"))</f>
        <v/>
      </c>
      <c r="T203" s="34" t="n"/>
    </row>
    <row r="204">
      <c r="A204" s="34" t="n"/>
      <c r="B204" s="45" t="n"/>
      <c r="C204" s="34" t="n"/>
      <c r="D204" s="34" t="n"/>
      <c r="E204" s="47" t="n"/>
      <c r="F204" s="34" t="n"/>
      <c r="G204" s="34" t="n"/>
      <c r="H204" s="34" t="n"/>
      <c r="I204" s="36" t="n"/>
      <c r="J204" s="46">
        <f>IF(G204="","",IFERROR(INDEX(Products!$B$2:$B$101,MATCH(G204,Products!$A$2:$A$101,0)),"Unknown SKU"))</f>
        <v/>
      </c>
      <c r="K204" s="34" t="n"/>
      <c r="L204" s="34" t="n"/>
      <c r="M204" s="36" t="n"/>
      <c r="N204" s="36" t="n"/>
      <c r="O204" s="44">
        <f>IF(OR(H204="",I204=""),"",H204*I204)</f>
        <v/>
      </c>
      <c r="P204" s="44">
        <f>IF(O204="","",O204*IFERROR(INDEX(Settings!$B$8:$B$15,MATCH(C204,Settings!$A$8:$A$15,0)),0))</f>
        <v/>
      </c>
      <c r="Q204" s="44">
        <f>IF(OR(G204="",H204=""),"",H204*IFERROR(INDEX(Products!$J$2:$J$101,MATCH(G204,Products!$A$2:$A$101,0)),0))</f>
        <v/>
      </c>
      <c r="R204" s="44">
        <f>IF(K204="Delivered",N(O204)+N(M204)-N(N204)-N(P204)-N(Q204),IF(OR(K204="Returned",K204="Failed delivery"),-N(N204),""))</f>
        <v/>
      </c>
      <c r="S204">
        <f>IF(E204="","",IF(MATCH(E204,$E$2:E204,0)&lt;ROWS($E$2:E204),"Repeat","New"))</f>
        <v/>
      </c>
      <c r="T204" s="34" t="n"/>
    </row>
    <row r="205">
      <c r="A205" s="34" t="n"/>
      <c r="B205" s="45" t="n"/>
      <c r="C205" s="34" t="n"/>
      <c r="D205" s="34" t="n"/>
      <c r="E205" s="47" t="n"/>
      <c r="F205" s="34" t="n"/>
      <c r="G205" s="34" t="n"/>
      <c r="H205" s="34" t="n"/>
      <c r="I205" s="36" t="n"/>
      <c r="J205" s="46">
        <f>IF(G205="","",IFERROR(INDEX(Products!$B$2:$B$101,MATCH(G205,Products!$A$2:$A$101,0)),"Unknown SKU"))</f>
        <v/>
      </c>
      <c r="K205" s="34" t="n"/>
      <c r="L205" s="34" t="n"/>
      <c r="M205" s="36" t="n"/>
      <c r="N205" s="36" t="n"/>
      <c r="O205" s="44">
        <f>IF(OR(H205="",I205=""),"",H205*I205)</f>
        <v/>
      </c>
      <c r="P205" s="44">
        <f>IF(O205="","",O205*IFERROR(INDEX(Settings!$B$8:$B$15,MATCH(C205,Settings!$A$8:$A$15,0)),0))</f>
        <v/>
      </c>
      <c r="Q205" s="44">
        <f>IF(OR(G205="",H205=""),"",H205*IFERROR(INDEX(Products!$J$2:$J$101,MATCH(G205,Products!$A$2:$A$101,0)),0))</f>
        <v/>
      </c>
      <c r="R205" s="44">
        <f>IF(K205="Delivered",N(O205)+N(M205)-N(N205)-N(P205)-N(Q205),IF(OR(K205="Returned",K205="Failed delivery"),-N(N205),""))</f>
        <v/>
      </c>
      <c r="S205">
        <f>IF(E205="","",IF(MATCH(E205,$E$2:E205,0)&lt;ROWS($E$2:E205),"Repeat","New"))</f>
        <v/>
      </c>
      <c r="T205" s="34" t="n"/>
    </row>
    <row r="206">
      <c r="A206" s="34" t="n"/>
      <c r="B206" s="45" t="n"/>
      <c r="C206" s="34" t="n"/>
      <c r="D206" s="34" t="n"/>
      <c r="E206" s="47" t="n"/>
      <c r="F206" s="34" t="n"/>
      <c r="G206" s="34" t="n"/>
      <c r="H206" s="34" t="n"/>
      <c r="I206" s="36" t="n"/>
      <c r="J206" s="46">
        <f>IF(G206="","",IFERROR(INDEX(Products!$B$2:$B$101,MATCH(G206,Products!$A$2:$A$101,0)),"Unknown SKU"))</f>
        <v/>
      </c>
      <c r="K206" s="34" t="n"/>
      <c r="L206" s="34" t="n"/>
      <c r="M206" s="36" t="n"/>
      <c r="N206" s="36" t="n"/>
      <c r="O206" s="44">
        <f>IF(OR(H206="",I206=""),"",H206*I206)</f>
        <v/>
      </c>
      <c r="P206" s="44">
        <f>IF(O206="","",O206*IFERROR(INDEX(Settings!$B$8:$B$15,MATCH(C206,Settings!$A$8:$A$15,0)),0))</f>
        <v/>
      </c>
      <c r="Q206" s="44">
        <f>IF(OR(G206="",H206=""),"",H206*IFERROR(INDEX(Products!$J$2:$J$101,MATCH(G206,Products!$A$2:$A$101,0)),0))</f>
        <v/>
      </c>
      <c r="R206" s="44">
        <f>IF(K206="Delivered",N(O206)+N(M206)-N(N206)-N(P206)-N(Q206),IF(OR(K206="Returned",K206="Failed delivery"),-N(N206),""))</f>
        <v/>
      </c>
      <c r="S206">
        <f>IF(E206="","",IF(MATCH(E206,$E$2:E206,0)&lt;ROWS($E$2:E206),"Repeat","New"))</f>
        <v/>
      </c>
      <c r="T206" s="34" t="n"/>
    </row>
    <row r="207">
      <c r="A207" s="34" t="n"/>
      <c r="B207" s="45" t="n"/>
      <c r="C207" s="34" t="n"/>
      <c r="D207" s="34" t="n"/>
      <c r="E207" s="47" t="n"/>
      <c r="F207" s="34" t="n"/>
      <c r="G207" s="34" t="n"/>
      <c r="H207" s="34" t="n"/>
      <c r="I207" s="36" t="n"/>
      <c r="J207" s="46">
        <f>IF(G207="","",IFERROR(INDEX(Products!$B$2:$B$101,MATCH(G207,Products!$A$2:$A$101,0)),"Unknown SKU"))</f>
        <v/>
      </c>
      <c r="K207" s="34" t="n"/>
      <c r="L207" s="34" t="n"/>
      <c r="M207" s="36" t="n"/>
      <c r="N207" s="36" t="n"/>
      <c r="O207" s="44">
        <f>IF(OR(H207="",I207=""),"",H207*I207)</f>
        <v/>
      </c>
      <c r="P207" s="44">
        <f>IF(O207="","",O207*IFERROR(INDEX(Settings!$B$8:$B$15,MATCH(C207,Settings!$A$8:$A$15,0)),0))</f>
        <v/>
      </c>
      <c r="Q207" s="44">
        <f>IF(OR(G207="",H207=""),"",H207*IFERROR(INDEX(Products!$J$2:$J$101,MATCH(G207,Products!$A$2:$A$101,0)),0))</f>
        <v/>
      </c>
      <c r="R207" s="44">
        <f>IF(K207="Delivered",N(O207)+N(M207)-N(N207)-N(P207)-N(Q207),IF(OR(K207="Returned",K207="Failed delivery"),-N(N207),""))</f>
        <v/>
      </c>
      <c r="S207">
        <f>IF(E207="","",IF(MATCH(E207,$E$2:E207,0)&lt;ROWS($E$2:E207),"Repeat","New"))</f>
        <v/>
      </c>
      <c r="T207" s="34" t="n"/>
    </row>
    <row r="208">
      <c r="A208" s="34" t="n"/>
      <c r="B208" s="45" t="n"/>
      <c r="C208" s="34" t="n"/>
      <c r="D208" s="34" t="n"/>
      <c r="E208" s="47" t="n"/>
      <c r="F208" s="34" t="n"/>
      <c r="G208" s="34" t="n"/>
      <c r="H208" s="34" t="n"/>
      <c r="I208" s="36" t="n"/>
      <c r="J208" s="46">
        <f>IF(G208="","",IFERROR(INDEX(Products!$B$2:$B$101,MATCH(G208,Products!$A$2:$A$101,0)),"Unknown SKU"))</f>
        <v/>
      </c>
      <c r="K208" s="34" t="n"/>
      <c r="L208" s="34" t="n"/>
      <c r="M208" s="36" t="n"/>
      <c r="N208" s="36" t="n"/>
      <c r="O208" s="44">
        <f>IF(OR(H208="",I208=""),"",H208*I208)</f>
        <v/>
      </c>
      <c r="P208" s="44">
        <f>IF(O208="","",O208*IFERROR(INDEX(Settings!$B$8:$B$15,MATCH(C208,Settings!$A$8:$A$15,0)),0))</f>
        <v/>
      </c>
      <c r="Q208" s="44">
        <f>IF(OR(G208="",H208=""),"",H208*IFERROR(INDEX(Products!$J$2:$J$101,MATCH(G208,Products!$A$2:$A$101,0)),0))</f>
        <v/>
      </c>
      <c r="R208" s="44">
        <f>IF(K208="Delivered",N(O208)+N(M208)-N(N208)-N(P208)-N(Q208),IF(OR(K208="Returned",K208="Failed delivery"),-N(N208),""))</f>
        <v/>
      </c>
      <c r="S208">
        <f>IF(E208="","",IF(MATCH(E208,$E$2:E208,0)&lt;ROWS($E$2:E208),"Repeat","New"))</f>
        <v/>
      </c>
      <c r="T208" s="34" t="n"/>
    </row>
    <row r="209">
      <c r="A209" s="34" t="n"/>
      <c r="B209" s="45" t="n"/>
      <c r="C209" s="34" t="n"/>
      <c r="D209" s="34" t="n"/>
      <c r="E209" s="47" t="n"/>
      <c r="F209" s="34" t="n"/>
      <c r="G209" s="34" t="n"/>
      <c r="H209" s="34" t="n"/>
      <c r="I209" s="36" t="n"/>
      <c r="J209" s="46">
        <f>IF(G209="","",IFERROR(INDEX(Products!$B$2:$B$101,MATCH(G209,Products!$A$2:$A$101,0)),"Unknown SKU"))</f>
        <v/>
      </c>
      <c r="K209" s="34" t="n"/>
      <c r="L209" s="34" t="n"/>
      <c r="M209" s="36" t="n"/>
      <c r="N209" s="36" t="n"/>
      <c r="O209" s="44">
        <f>IF(OR(H209="",I209=""),"",H209*I209)</f>
        <v/>
      </c>
      <c r="P209" s="44">
        <f>IF(O209="","",O209*IFERROR(INDEX(Settings!$B$8:$B$15,MATCH(C209,Settings!$A$8:$A$15,0)),0))</f>
        <v/>
      </c>
      <c r="Q209" s="44">
        <f>IF(OR(G209="",H209=""),"",H209*IFERROR(INDEX(Products!$J$2:$J$101,MATCH(G209,Products!$A$2:$A$101,0)),0))</f>
        <v/>
      </c>
      <c r="R209" s="44">
        <f>IF(K209="Delivered",N(O209)+N(M209)-N(N209)-N(P209)-N(Q209),IF(OR(K209="Returned",K209="Failed delivery"),-N(N209),""))</f>
        <v/>
      </c>
      <c r="S209">
        <f>IF(E209="","",IF(MATCH(E209,$E$2:E209,0)&lt;ROWS($E$2:E209),"Repeat","New"))</f>
        <v/>
      </c>
      <c r="T209" s="34" t="n"/>
    </row>
    <row r="210">
      <c r="A210" s="34" t="n"/>
      <c r="B210" s="45" t="n"/>
      <c r="C210" s="34" t="n"/>
      <c r="D210" s="34" t="n"/>
      <c r="E210" s="47" t="n"/>
      <c r="F210" s="34" t="n"/>
      <c r="G210" s="34" t="n"/>
      <c r="H210" s="34" t="n"/>
      <c r="I210" s="36" t="n"/>
      <c r="J210" s="46">
        <f>IF(G210="","",IFERROR(INDEX(Products!$B$2:$B$101,MATCH(G210,Products!$A$2:$A$101,0)),"Unknown SKU"))</f>
        <v/>
      </c>
      <c r="K210" s="34" t="n"/>
      <c r="L210" s="34" t="n"/>
      <c r="M210" s="36" t="n"/>
      <c r="N210" s="36" t="n"/>
      <c r="O210" s="44">
        <f>IF(OR(H210="",I210=""),"",H210*I210)</f>
        <v/>
      </c>
      <c r="P210" s="44">
        <f>IF(O210="","",O210*IFERROR(INDEX(Settings!$B$8:$B$15,MATCH(C210,Settings!$A$8:$A$15,0)),0))</f>
        <v/>
      </c>
      <c r="Q210" s="44">
        <f>IF(OR(G210="",H210=""),"",H210*IFERROR(INDEX(Products!$J$2:$J$101,MATCH(G210,Products!$A$2:$A$101,0)),0))</f>
        <v/>
      </c>
      <c r="R210" s="44">
        <f>IF(K210="Delivered",N(O210)+N(M210)-N(N210)-N(P210)-N(Q210),IF(OR(K210="Returned",K210="Failed delivery"),-N(N210),""))</f>
        <v/>
      </c>
      <c r="S210">
        <f>IF(E210="","",IF(MATCH(E210,$E$2:E210,0)&lt;ROWS($E$2:E210),"Repeat","New"))</f>
        <v/>
      </c>
      <c r="T210" s="34" t="n"/>
    </row>
    <row r="211">
      <c r="A211" s="34" t="n"/>
      <c r="B211" s="45" t="n"/>
      <c r="C211" s="34" t="n"/>
      <c r="D211" s="34" t="n"/>
      <c r="E211" s="47" t="n"/>
      <c r="F211" s="34" t="n"/>
      <c r="G211" s="34" t="n"/>
      <c r="H211" s="34" t="n"/>
      <c r="I211" s="36" t="n"/>
      <c r="J211" s="46">
        <f>IF(G211="","",IFERROR(INDEX(Products!$B$2:$B$101,MATCH(G211,Products!$A$2:$A$101,0)),"Unknown SKU"))</f>
        <v/>
      </c>
      <c r="K211" s="34" t="n"/>
      <c r="L211" s="34" t="n"/>
      <c r="M211" s="36" t="n"/>
      <c r="N211" s="36" t="n"/>
      <c r="O211" s="44">
        <f>IF(OR(H211="",I211=""),"",H211*I211)</f>
        <v/>
      </c>
      <c r="P211" s="44">
        <f>IF(O211="","",O211*IFERROR(INDEX(Settings!$B$8:$B$15,MATCH(C211,Settings!$A$8:$A$15,0)),0))</f>
        <v/>
      </c>
      <c r="Q211" s="44">
        <f>IF(OR(G211="",H211=""),"",H211*IFERROR(INDEX(Products!$J$2:$J$101,MATCH(G211,Products!$A$2:$A$101,0)),0))</f>
        <v/>
      </c>
      <c r="R211" s="44">
        <f>IF(K211="Delivered",N(O211)+N(M211)-N(N211)-N(P211)-N(Q211),IF(OR(K211="Returned",K211="Failed delivery"),-N(N211),""))</f>
        <v/>
      </c>
      <c r="S211">
        <f>IF(E211="","",IF(MATCH(E211,$E$2:E211,0)&lt;ROWS($E$2:E211),"Repeat","New"))</f>
        <v/>
      </c>
      <c r="T211" s="34" t="n"/>
    </row>
    <row r="212">
      <c r="A212" s="34" t="n"/>
      <c r="B212" s="45" t="n"/>
      <c r="C212" s="34" t="n"/>
      <c r="D212" s="34" t="n"/>
      <c r="E212" s="47" t="n"/>
      <c r="F212" s="34" t="n"/>
      <c r="G212" s="34" t="n"/>
      <c r="H212" s="34" t="n"/>
      <c r="I212" s="36" t="n"/>
      <c r="J212" s="46">
        <f>IF(G212="","",IFERROR(INDEX(Products!$B$2:$B$101,MATCH(G212,Products!$A$2:$A$101,0)),"Unknown SKU"))</f>
        <v/>
      </c>
      <c r="K212" s="34" t="n"/>
      <c r="L212" s="34" t="n"/>
      <c r="M212" s="36" t="n"/>
      <c r="N212" s="36" t="n"/>
      <c r="O212" s="44">
        <f>IF(OR(H212="",I212=""),"",H212*I212)</f>
        <v/>
      </c>
      <c r="P212" s="44">
        <f>IF(O212="","",O212*IFERROR(INDEX(Settings!$B$8:$B$15,MATCH(C212,Settings!$A$8:$A$15,0)),0))</f>
        <v/>
      </c>
      <c r="Q212" s="44">
        <f>IF(OR(G212="",H212=""),"",H212*IFERROR(INDEX(Products!$J$2:$J$101,MATCH(G212,Products!$A$2:$A$101,0)),0))</f>
        <v/>
      </c>
      <c r="R212" s="44">
        <f>IF(K212="Delivered",N(O212)+N(M212)-N(N212)-N(P212)-N(Q212),IF(OR(K212="Returned",K212="Failed delivery"),-N(N212),""))</f>
        <v/>
      </c>
      <c r="S212">
        <f>IF(E212="","",IF(MATCH(E212,$E$2:E212,0)&lt;ROWS($E$2:E212),"Repeat","New"))</f>
        <v/>
      </c>
      <c r="T212" s="34" t="n"/>
    </row>
    <row r="213">
      <c r="A213" s="34" t="n"/>
      <c r="B213" s="45" t="n"/>
      <c r="C213" s="34" t="n"/>
      <c r="D213" s="34" t="n"/>
      <c r="E213" s="47" t="n"/>
      <c r="F213" s="34" t="n"/>
      <c r="G213" s="34" t="n"/>
      <c r="H213" s="34" t="n"/>
      <c r="I213" s="36" t="n"/>
      <c r="J213" s="46">
        <f>IF(G213="","",IFERROR(INDEX(Products!$B$2:$B$101,MATCH(G213,Products!$A$2:$A$101,0)),"Unknown SKU"))</f>
        <v/>
      </c>
      <c r="K213" s="34" t="n"/>
      <c r="L213" s="34" t="n"/>
      <c r="M213" s="36" t="n"/>
      <c r="N213" s="36" t="n"/>
      <c r="O213" s="44">
        <f>IF(OR(H213="",I213=""),"",H213*I213)</f>
        <v/>
      </c>
      <c r="P213" s="44">
        <f>IF(O213="","",O213*IFERROR(INDEX(Settings!$B$8:$B$15,MATCH(C213,Settings!$A$8:$A$15,0)),0))</f>
        <v/>
      </c>
      <c r="Q213" s="44">
        <f>IF(OR(G213="",H213=""),"",H213*IFERROR(INDEX(Products!$J$2:$J$101,MATCH(G213,Products!$A$2:$A$101,0)),0))</f>
        <v/>
      </c>
      <c r="R213" s="44">
        <f>IF(K213="Delivered",N(O213)+N(M213)-N(N213)-N(P213)-N(Q213),IF(OR(K213="Returned",K213="Failed delivery"),-N(N213),""))</f>
        <v/>
      </c>
      <c r="S213">
        <f>IF(E213="","",IF(MATCH(E213,$E$2:E213,0)&lt;ROWS($E$2:E213),"Repeat","New"))</f>
        <v/>
      </c>
      <c r="T213" s="34" t="n"/>
    </row>
    <row r="214">
      <c r="A214" s="34" t="n"/>
      <c r="B214" s="45" t="n"/>
      <c r="C214" s="34" t="n"/>
      <c r="D214" s="34" t="n"/>
      <c r="E214" s="47" t="n"/>
      <c r="F214" s="34" t="n"/>
      <c r="G214" s="34" t="n"/>
      <c r="H214" s="34" t="n"/>
      <c r="I214" s="36" t="n"/>
      <c r="J214" s="46">
        <f>IF(G214="","",IFERROR(INDEX(Products!$B$2:$B$101,MATCH(G214,Products!$A$2:$A$101,0)),"Unknown SKU"))</f>
        <v/>
      </c>
      <c r="K214" s="34" t="n"/>
      <c r="L214" s="34" t="n"/>
      <c r="M214" s="36" t="n"/>
      <c r="N214" s="36" t="n"/>
      <c r="O214" s="44">
        <f>IF(OR(H214="",I214=""),"",H214*I214)</f>
        <v/>
      </c>
      <c r="P214" s="44">
        <f>IF(O214="","",O214*IFERROR(INDEX(Settings!$B$8:$B$15,MATCH(C214,Settings!$A$8:$A$15,0)),0))</f>
        <v/>
      </c>
      <c r="Q214" s="44">
        <f>IF(OR(G214="",H214=""),"",H214*IFERROR(INDEX(Products!$J$2:$J$101,MATCH(G214,Products!$A$2:$A$101,0)),0))</f>
        <v/>
      </c>
      <c r="R214" s="44">
        <f>IF(K214="Delivered",N(O214)+N(M214)-N(N214)-N(P214)-N(Q214),IF(OR(K214="Returned",K214="Failed delivery"),-N(N214),""))</f>
        <v/>
      </c>
      <c r="S214">
        <f>IF(E214="","",IF(MATCH(E214,$E$2:E214,0)&lt;ROWS($E$2:E214),"Repeat","New"))</f>
        <v/>
      </c>
      <c r="T214" s="34" t="n"/>
    </row>
    <row r="215">
      <c r="A215" s="34" t="n"/>
      <c r="B215" s="45" t="n"/>
      <c r="C215" s="34" t="n"/>
      <c r="D215" s="34" t="n"/>
      <c r="E215" s="47" t="n"/>
      <c r="F215" s="34" t="n"/>
      <c r="G215" s="34" t="n"/>
      <c r="H215" s="34" t="n"/>
      <c r="I215" s="36" t="n"/>
      <c r="J215" s="46">
        <f>IF(G215="","",IFERROR(INDEX(Products!$B$2:$B$101,MATCH(G215,Products!$A$2:$A$101,0)),"Unknown SKU"))</f>
        <v/>
      </c>
      <c r="K215" s="34" t="n"/>
      <c r="L215" s="34" t="n"/>
      <c r="M215" s="36" t="n"/>
      <c r="N215" s="36" t="n"/>
      <c r="O215" s="44">
        <f>IF(OR(H215="",I215=""),"",H215*I215)</f>
        <v/>
      </c>
      <c r="P215" s="44">
        <f>IF(O215="","",O215*IFERROR(INDEX(Settings!$B$8:$B$15,MATCH(C215,Settings!$A$8:$A$15,0)),0))</f>
        <v/>
      </c>
      <c r="Q215" s="44">
        <f>IF(OR(G215="",H215=""),"",H215*IFERROR(INDEX(Products!$J$2:$J$101,MATCH(G215,Products!$A$2:$A$101,0)),0))</f>
        <v/>
      </c>
      <c r="R215" s="44">
        <f>IF(K215="Delivered",N(O215)+N(M215)-N(N215)-N(P215)-N(Q215),IF(OR(K215="Returned",K215="Failed delivery"),-N(N215),""))</f>
        <v/>
      </c>
      <c r="S215">
        <f>IF(E215="","",IF(MATCH(E215,$E$2:E215,0)&lt;ROWS($E$2:E215),"Repeat","New"))</f>
        <v/>
      </c>
      <c r="T215" s="34" t="n"/>
    </row>
    <row r="216">
      <c r="A216" s="34" t="n"/>
      <c r="B216" s="45" t="n"/>
      <c r="C216" s="34" t="n"/>
      <c r="D216" s="34" t="n"/>
      <c r="E216" s="47" t="n"/>
      <c r="F216" s="34" t="n"/>
      <c r="G216" s="34" t="n"/>
      <c r="H216" s="34" t="n"/>
      <c r="I216" s="36" t="n"/>
      <c r="J216" s="46">
        <f>IF(G216="","",IFERROR(INDEX(Products!$B$2:$B$101,MATCH(G216,Products!$A$2:$A$101,0)),"Unknown SKU"))</f>
        <v/>
      </c>
      <c r="K216" s="34" t="n"/>
      <c r="L216" s="34" t="n"/>
      <c r="M216" s="36" t="n"/>
      <c r="N216" s="36" t="n"/>
      <c r="O216" s="44">
        <f>IF(OR(H216="",I216=""),"",H216*I216)</f>
        <v/>
      </c>
      <c r="P216" s="44">
        <f>IF(O216="","",O216*IFERROR(INDEX(Settings!$B$8:$B$15,MATCH(C216,Settings!$A$8:$A$15,0)),0))</f>
        <v/>
      </c>
      <c r="Q216" s="44">
        <f>IF(OR(G216="",H216=""),"",H216*IFERROR(INDEX(Products!$J$2:$J$101,MATCH(G216,Products!$A$2:$A$101,0)),0))</f>
        <v/>
      </c>
      <c r="R216" s="44">
        <f>IF(K216="Delivered",N(O216)+N(M216)-N(N216)-N(P216)-N(Q216),IF(OR(K216="Returned",K216="Failed delivery"),-N(N216),""))</f>
        <v/>
      </c>
      <c r="S216">
        <f>IF(E216="","",IF(MATCH(E216,$E$2:E216,0)&lt;ROWS($E$2:E216),"Repeat","New"))</f>
        <v/>
      </c>
      <c r="T216" s="34" t="n"/>
    </row>
    <row r="217">
      <c r="A217" s="34" t="n"/>
      <c r="B217" s="45" t="n"/>
      <c r="C217" s="34" t="n"/>
      <c r="D217" s="34" t="n"/>
      <c r="E217" s="47" t="n"/>
      <c r="F217" s="34" t="n"/>
      <c r="G217" s="34" t="n"/>
      <c r="H217" s="34" t="n"/>
      <c r="I217" s="36" t="n"/>
      <c r="J217" s="46">
        <f>IF(G217="","",IFERROR(INDEX(Products!$B$2:$B$101,MATCH(G217,Products!$A$2:$A$101,0)),"Unknown SKU"))</f>
        <v/>
      </c>
      <c r="K217" s="34" t="n"/>
      <c r="L217" s="34" t="n"/>
      <c r="M217" s="36" t="n"/>
      <c r="N217" s="36" t="n"/>
      <c r="O217" s="44">
        <f>IF(OR(H217="",I217=""),"",H217*I217)</f>
        <v/>
      </c>
      <c r="P217" s="44">
        <f>IF(O217="","",O217*IFERROR(INDEX(Settings!$B$8:$B$15,MATCH(C217,Settings!$A$8:$A$15,0)),0))</f>
        <v/>
      </c>
      <c r="Q217" s="44">
        <f>IF(OR(G217="",H217=""),"",H217*IFERROR(INDEX(Products!$J$2:$J$101,MATCH(G217,Products!$A$2:$A$101,0)),0))</f>
        <v/>
      </c>
      <c r="R217" s="44">
        <f>IF(K217="Delivered",N(O217)+N(M217)-N(N217)-N(P217)-N(Q217),IF(OR(K217="Returned",K217="Failed delivery"),-N(N217),""))</f>
        <v/>
      </c>
      <c r="S217">
        <f>IF(E217="","",IF(MATCH(E217,$E$2:E217,0)&lt;ROWS($E$2:E217),"Repeat","New"))</f>
        <v/>
      </c>
      <c r="T217" s="34" t="n"/>
    </row>
    <row r="218">
      <c r="A218" s="34" t="n"/>
      <c r="B218" s="45" t="n"/>
      <c r="C218" s="34" t="n"/>
      <c r="D218" s="34" t="n"/>
      <c r="E218" s="47" t="n"/>
      <c r="F218" s="34" t="n"/>
      <c r="G218" s="34" t="n"/>
      <c r="H218" s="34" t="n"/>
      <c r="I218" s="36" t="n"/>
      <c r="J218" s="46">
        <f>IF(G218="","",IFERROR(INDEX(Products!$B$2:$B$101,MATCH(G218,Products!$A$2:$A$101,0)),"Unknown SKU"))</f>
        <v/>
      </c>
      <c r="K218" s="34" t="n"/>
      <c r="L218" s="34" t="n"/>
      <c r="M218" s="36" t="n"/>
      <c r="N218" s="36" t="n"/>
      <c r="O218" s="44">
        <f>IF(OR(H218="",I218=""),"",H218*I218)</f>
        <v/>
      </c>
      <c r="P218" s="44">
        <f>IF(O218="","",O218*IFERROR(INDEX(Settings!$B$8:$B$15,MATCH(C218,Settings!$A$8:$A$15,0)),0))</f>
        <v/>
      </c>
      <c r="Q218" s="44">
        <f>IF(OR(G218="",H218=""),"",H218*IFERROR(INDEX(Products!$J$2:$J$101,MATCH(G218,Products!$A$2:$A$101,0)),0))</f>
        <v/>
      </c>
      <c r="R218" s="44">
        <f>IF(K218="Delivered",N(O218)+N(M218)-N(N218)-N(P218)-N(Q218),IF(OR(K218="Returned",K218="Failed delivery"),-N(N218),""))</f>
        <v/>
      </c>
      <c r="S218">
        <f>IF(E218="","",IF(MATCH(E218,$E$2:E218,0)&lt;ROWS($E$2:E218),"Repeat","New"))</f>
        <v/>
      </c>
      <c r="T218" s="34" t="n"/>
    </row>
    <row r="219">
      <c r="A219" s="34" t="n"/>
      <c r="B219" s="45" t="n"/>
      <c r="C219" s="34" t="n"/>
      <c r="D219" s="34" t="n"/>
      <c r="E219" s="47" t="n"/>
      <c r="F219" s="34" t="n"/>
      <c r="G219" s="34" t="n"/>
      <c r="H219" s="34" t="n"/>
      <c r="I219" s="36" t="n"/>
      <c r="J219" s="46">
        <f>IF(G219="","",IFERROR(INDEX(Products!$B$2:$B$101,MATCH(G219,Products!$A$2:$A$101,0)),"Unknown SKU"))</f>
        <v/>
      </c>
      <c r="K219" s="34" t="n"/>
      <c r="L219" s="34" t="n"/>
      <c r="M219" s="36" t="n"/>
      <c r="N219" s="36" t="n"/>
      <c r="O219" s="44">
        <f>IF(OR(H219="",I219=""),"",H219*I219)</f>
        <v/>
      </c>
      <c r="P219" s="44">
        <f>IF(O219="","",O219*IFERROR(INDEX(Settings!$B$8:$B$15,MATCH(C219,Settings!$A$8:$A$15,0)),0))</f>
        <v/>
      </c>
      <c r="Q219" s="44">
        <f>IF(OR(G219="",H219=""),"",H219*IFERROR(INDEX(Products!$J$2:$J$101,MATCH(G219,Products!$A$2:$A$101,0)),0))</f>
        <v/>
      </c>
      <c r="R219" s="44">
        <f>IF(K219="Delivered",N(O219)+N(M219)-N(N219)-N(P219)-N(Q219),IF(OR(K219="Returned",K219="Failed delivery"),-N(N219),""))</f>
        <v/>
      </c>
      <c r="S219">
        <f>IF(E219="","",IF(MATCH(E219,$E$2:E219,0)&lt;ROWS($E$2:E219),"Repeat","New"))</f>
        <v/>
      </c>
      <c r="T219" s="34" t="n"/>
    </row>
    <row r="220">
      <c r="A220" s="34" t="n"/>
      <c r="B220" s="45" t="n"/>
      <c r="C220" s="34" t="n"/>
      <c r="D220" s="34" t="n"/>
      <c r="E220" s="47" t="n"/>
      <c r="F220" s="34" t="n"/>
      <c r="G220" s="34" t="n"/>
      <c r="H220" s="34" t="n"/>
      <c r="I220" s="36" t="n"/>
      <c r="J220" s="46">
        <f>IF(G220="","",IFERROR(INDEX(Products!$B$2:$B$101,MATCH(G220,Products!$A$2:$A$101,0)),"Unknown SKU"))</f>
        <v/>
      </c>
      <c r="K220" s="34" t="n"/>
      <c r="L220" s="34" t="n"/>
      <c r="M220" s="36" t="n"/>
      <c r="N220" s="36" t="n"/>
      <c r="O220" s="44">
        <f>IF(OR(H220="",I220=""),"",H220*I220)</f>
        <v/>
      </c>
      <c r="P220" s="44">
        <f>IF(O220="","",O220*IFERROR(INDEX(Settings!$B$8:$B$15,MATCH(C220,Settings!$A$8:$A$15,0)),0))</f>
        <v/>
      </c>
      <c r="Q220" s="44">
        <f>IF(OR(G220="",H220=""),"",H220*IFERROR(INDEX(Products!$J$2:$J$101,MATCH(G220,Products!$A$2:$A$101,0)),0))</f>
        <v/>
      </c>
      <c r="R220" s="44">
        <f>IF(K220="Delivered",N(O220)+N(M220)-N(N220)-N(P220)-N(Q220),IF(OR(K220="Returned",K220="Failed delivery"),-N(N220),""))</f>
        <v/>
      </c>
      <c r="S220">
        <f>IF(E220="","",IF(MATCH(E220,$E$2:E220,0)&lt;ROWS($E$2:E220),"Repeat","New"))</f>
        <v/>
      </c>
      <c r="T220" s="34" t="n"/>
    </row>
    <row r="221">
      <c r="A221" s="34" t="n"/>
      <c r="B221" s="45" t="n"/>
      <c r="C221" s="34" t="n"/>
      <c r="D221" s="34" t="n"/>
      <c r="E221" s="47" t="n"/>
      <c r="F221" s="34" t="n"/>
      <c r="G221" s="34" t="n"/>
      <c r="H221" s="34" t="n"/>
      <c r="I221" s="36" t="n"/>
      <c r="J221" s="46">
        <f>IF(G221="","",IFERROR(INDEX(Products!$B$2:$B$101,MATCH(G221,Products!$A$2:$A$101,0)),"Unknown SKU"))</f>
        <v/>
      </c>
      <c r="K221" s="34" t="n"/>
      <c r="L221" s="34" t="n"/>
      <c r="M221" s="36" t="n"/>
      <c r="N221" s="36" t="n"/>
      <c r="O221" s="44">
        <f>IF(OR(H221="",I221=""),"",H221*I221)</f>
        <v/>
      </c>
      <c r="P221" s="44">
        <f>IF(O221="","",O221*IFERROR(INDEX(Settings!$B$8:$B$15,MATCH(C221,Settings!$A$8:$A$15,0)),0))</f>
        <v/>
      </c>
      <c r="Q221" s="44">
        <f>IF(OR(G221="",H221=""),"",H221*IFERROR(INDEX(Products!$J$2:$J$101,MATCH(G221,Products!$A$2:$A$101,0)),0))</f>
        <v/>
      </c>
      <c r="R221" s="44">
        <f>IF(K221="Delivered",N(O221)+N(M221)-N(N221)-N(P221)-N(Q221),IF(OR(K221="Returned",K221="Failed delivery"),-N(N221),""))</f>
        <v/>
      </c>
      <c r="S221">
        <f>IF(E221="","",IF(MATCH(E221,$E$2:E221,0)&lt;ROWS($E$2:E221),"Repeat","New"))</f>
        <v/>
      </c>
      <c r="T221" s="34" t="n"/>
    </row>
    <row r="222">
      <c r="A222" s="34" t="n"/>
      <c r="B222" s="45" t="n"/>
      <c r="C222" s="34" t="n"/>
      <c r="D222" s="34" t="n"/>
      <c r="E222" s="47" t="n"/>
      <c r="F222" s="34" t="n"/>
      <c r="G222" s="34" t="n"/>
      <c r="H222" s="34" t="n"/>
      <c r="I222" s="36" t="n"/>
      <c r="J222" s="46">
        <f>IF(G222="","",IFERROR(INDEX(Products!$B$2:$B$101,MATCH(G222,Products!$A$2:$A$101,0)),"Unknown SKU"))</f>
        <v/>
      </c>
      <c r="K222" s="34" t="n"/>
      <c r="L222" s="34" t="n"/>
      <c r="M222" s="36" t="n"/>
      <c r="N222" s="36" t="n"/>
      <c r="O222" s="44">
        <f>IF(OR(H222="",I222=""),"",H222*I222)</f>
        <v/>
      </c>
      <c r="P222" s="44">
        <f>IF(O222="","",O222*IFERROR(INDEX(Settings!$B$8:$B$15,MATCH(C222,Settings!$A$8:$A$15,0)),0))</f>
        <v/>
      </c>
      <c r="Q222" s="44">
        <f>IF(OR(G222="",H222=""),"",H222*IFERROR(INDEX(Products!$J$2:$J$101,MATCH(G222,Products!$A$2:$A$101,0)),0))</f>
        <v/>
      </c>
      <c r="R222" s="44">
        <f>IF(K222="Delivered",N(O222)+N(M222)-N(N222)-N(P222)-N(Q222),IF(OR(K222="Returned",K222="Failed delivery"),-N(N222),""))</f>
        <v/>
      </c>
      <c r="S222">
        <f>IF(E222="","",IF(MATCH(E222,$E$2:E222,0)&lt;ROWS($E$2:E222),"Repeat","New"))</f>
        <v/>
      </c>
      <c r="T222" s="34" t="n"/>
    </row>
    <row r="223">
      <c r="A223" s="34" t="n"/>
      <c r="B223" s="45" t="n"/>
      <c r="C223" s="34" t="n"/>
      <c r="D223" s="34" t="n"/>
      <c r="E223" s="47" t="n"/>
      <c r="F223" s="34" t="n"/>
      <c r="G223" s="34" t="n"/>
      <c r="H223" s="34" t="n"/>
      <c r="I223" s="36" t="n"/>
      <c r="J223" s="46">
        <f>IF(G223="","",IFERROR(INDEX(Products!$B$2:$B$101,MATCH(G223,Products!$A$2:$A$101,0)),"Unknown SKU"))</f>
        <v/>
      </c>
      <c r="K223" s="34" t="n"/>
      <c r="L223" s="34" t="n"/>
      <c r="M223" s="36" t="n"/>
      <c r="N223" s="36" t="n"/>
      <c r="O223" s="44">
        <f>IF(OR(H223="",I223=""),"",H223*I223)</f>
        <v/>
      </c>
      <c r="P223" s="44">
        <f>IF(O223="","",O223*IFERROR(INDEX(Settings!$B$8:$B$15,MATCH(C223,Settings!$A$8:$A$15,0)),0))</f>
        <v/>
      </c>
      <c r="Q223" s="44">
        <f>IF(OR(G223="",H223=""),"",H223*IFERROR(INDEX(Products!$J$2:$J$101,MATCH(G223,Products!$A$2:$A$101,0)),0))</f>
        <v/>
      </c>
      <c r="R223" s="44">
        <f>IF(K223="Delivered",N(O223)+N(M223)-N(N223)-N(P223)-N(Q223),IF(OR(K223="Returned",K223="Failed delivery"),-N(N223),""))</f>
        <v/>
      </c>
      <c r="S223">
        <f>IF(E223="","",IF(MATCH(E223,$E$2:E223,0)&lt;ROWS($E$2:E223),"Repeat","New"))</f>
        <v/>
      </c>
      <c r="T223" s="34" t="n"/>
    </row>
    <row r="224">
      <c r="A224" s="34" t="n"/>
      <c r="B224" s="45" t="n"/>
      <c r="C224" s="34" t="n"/>
      <c r="D224" s="34" t="n"/>
      <c r="E224" s="47" t="n"/>
      <c r="F224" s="34" t="n"/>
      <c r="G224" s="34" t="n"/>
      <c r="H224" s="34" t="n"/>
      <c r="I224" s="36" t="n"/>
      <c r="J224" s="46">
        <f>IF(G224="","",IFERROR(INDEX(Products!$B$2:$B$101,MATCH(G224,Products!$A$2:$A$101,0)),"Unknown SKU"))</f>
        <v/>
      </c>
      <c r="K224" s="34" t="n"/>
      <c r="L224" s="34" t="n"/>
      <c r="M224" s="36" t="n"/>
      <c r="N224" s="36" t="n"/>
      <c r="O224" s="44">
        <f>IF(OR(H224="",I224=""),"",H224*I224)</f>
        <v/>
      </c>
      <c r="P224" s="44">
        <f>IF(O224="","",O224*IFERROR(INDEX(Settings!$B$8:$B$15,MATCH(C224,Settings!$A$8:$A$15,0)),0))</f>
        <v/>
      </c>
      <c r="Q224" s="44">
        <f>IF(OR(G224="",H224=""),"",H224*IFERROR(INDEX(Products!$J$2:$J$101,MATCH(G224,Products!$A$2:$A$101,0)),0))</f>
        <v/>
      </c>
      <c r="R224" s="44">
        <f>IF(K224="Delivered",N(O224)+N(M224)-N(N224)-N(P224)-N(Q224),IF(OR(K224="Returned",K224="Failed delivery"),-N(N224),""))</f>
        <v/>
      </c>
      <c r="S224">
        <f>IF(E224="","",IF(MATCH(E224,$E$2:E224,0)&lt;ROWS($E$2:E224),"Repeat","New"))</f>
        <v/>
      </c>
      <c r="T224" s="34" t="n"/>
    </row>
    <row r="225">
      <c r="A225" s="34" t="n"/>
      <c r="B225" s="45" t="n"/>
      <c r="C225" s="34" t="n"/>
      <c r="D225" s="34" t="n"/>
      <c r="E225" s="47" t="n"/>
      <c r="F225" s="34" t="n"/>
      <c r="G225" s="34" t="n"/>
      <c r="H225" s="34" t="n"/>
      <c r="I225" s="36" t="n"/>
      <c r="J225" s="46">
        <f>IF(G225="","",IFERROR(INDEX(Products!$B$2:$B$101,MATCH(G225,Products!$A$2:$A$101,0)),"Unknown SKU"))</f>
        <v/>
      </c>
      <c r="K225" s="34" t="n"/>
      <c r="L225" s="34" t="n"/>
      <c r="M225" s="36" t="n"/>
      <c r="N225" s="36" t="n"/>
      <c r="O225" s="44">
        <f>IF(OR(H225="",I225=""),"",H225*I225)</f>
        <v/>
      </c>
      <c r="P225" s="44">
        <f>IF(O225="","",O225*IFERROR(INDEX(Settings!$B$8:$B$15,MATCH(C225,Settings!$A$8:$A$15,0)),0))</f>
        <v/>
      </c>
      <c r="Q225" s="44">
        <f>IF(OR(G225="",H225=""),"",H225*IFERROR(INDEX(Products!$J$2:$J$101,MATCH(G225,Products!$A$2:$A$101,0)),0))</f>
        <v/>
      </c>
      <c r="R225" s="44">
        <f>IF(K225="Delivered",N(O225)+N(M225)-N(N225)-N(P225)-N(Q225),IF(OR(K225="Returned",K225="Failed delivery"),-N(N225),""))</f>
        <v/>
      </c>
      <c r="S225">
        <f>IF(E225="","",IF(MATCH(E225,$E$2:E225,0)&lt;ROWS($E$2:E225),"Repeat","New"))</f>
        <v/>
      </c>
      <c r="T225" s="34" t="n"/>
    </row>
    <row r="226">
      <c r="A226" s="34" t="n"/>
      <c r="B226" s="45" t="n"/>
      <c r="C226" s="34" t="n"/>
      <c r="D226" s="34" t="n"/>
      <c r="E226" s="47" t="n"/>
      <c r="F226" s="34" t="n"/>
      <c r="G226" s="34" t="n"/>
      <c r="H226" s="34" t="n"/>
      <c r="I226" s="36" t="n"/>
      <c r="J226" s="46">
        <f>IF(G226="","",IFERROR(INDEX(Products!$B$2:$B$101,MATCH(G226,Products!$A$2:$A$101,0)),"Unknown SKU"))</f>
        <v/>
      </c>
      <c r="K226" s="34" t="n"/>
      <c r="L226" s="34" t="n"/>
      <c r="M226" s="36" t="n"/>
      <c r="N226" s="36" t="n"/>
      <c r="O226" s="44">
        <f>IF(OR(H226="",I226=""),"",H226*I226)</f>
        <v/>
      </c>
      <c r="P226" s="44">
        <f>IF(O226="","",O226*IFERROR(INDEX(Settings!$B$8:$B$15,MATCH(C226,Settings!$A$8:$A$15,0)),0))</f>
        <v/>
      </c>
      <c r="Q226" s="44">
        <f>IF(OR(G226="",H226=""),"",H226*IFERROR(INDEX(Products!$J$2:$J$101,MATCH(G226,Products!$A$2:$A$101,0)),0))</f>
        <v/>
      </c>
      <c r="R226" s="44">
        <f>IF(K226="Delivered",N(O226)+N(M226)-N(N226)-N(P226)-N(Q226),IF(OR(K226="Returned",K226="Failed delivery"),-N(N226),""))</f>
        <v/>
      </c>
      <c r="S226">
        <f>IF(E226="","",IF(MATCH(E226,$E$2:E226,0)&lt;ROWS($E$2:E226),"Repeat","New"))</f>
        <v/>
      </c>
      <c r="T226" s="34" t="n"/>
    </row>
    <row r="227">
      <c r="A227" s="34" t="n"/>
      <c r="B227" s="45" t="n"/>
      <c r="C227" s="34" t="n"/>
      <c r="D227" s="34" t="n"/>
      <c r="E227" s="47" t="n"/>
      <c r="F227" s="34" t="n"/>
      <c r="G227" s="34" t="n"/>
      <c r="H227" s="34" t="n"/>
      <c r="I227" s="36" t="n"/>
      <c r="J227" s="46">
        <f>IF(G227="","",IFERROR(INDEX(Products!$B$2:$B$101,MATCH(G227,Products!$A$2:$A$101,0)),"Unknown SKU"))</f>
        <v/>
      </c>
      <c r="K227" s="34" t="n"/>
      <c r="L227" s="34" t="n"/>
      <c r="M227" s="36" t="n"/>
      <c r="N227" s="36" t="n"/>
      <c r="O227" s="44">
        <f>IF(OR(H227="",I227=""),"",H227*I227)</f>
        <v/>
      </c>
      <c r="P227" s="44">
        <f>IF(O227="","",O227*IFERROR(INDEX(Settings!$B$8:$B$15,MATCH(C227,Settings!$A$8:$A$15,0)),0))</f>
        <v/>
      </c>
      <c r="Q227" s="44">
        <f>IF(OR(G227="",H227=""),"",H227*IFERROR(INDEX(Products!$J$2:$J$101,MATCH(G227,Products!$A$2:$A$101,0)),0))</f>
        <v/>
      </c>
      <c r="R227" s="44">
        <f>IF(K227="Delivered",N(O227)+N(M227)-N(N227)-N(P227)-N(Q227),IF(OR(K227="Returned",K227="Failed delivery"),-N(N227),""))</f>
        <v/>
      </c>
      <c r="S227">
        <f>IF(E227="","",IF(MATCH(E227,$E$2:E227,0)&lt;ROWS($E$2:E227),"Repeat","New"))</f>
        <v/>
      </c>
      <c r="T227" s="34" t="n"/>
    </row>
    <row r="228">
      <c r="A228" s="34" t="n"/>
      <c r="B228" s="45" t="n"/>
      <c r="C228" s="34" t="n"/>
      <c r="D228" s="34" t="n"/>
      <c r="E228" s="47" t="n"/>
      <c r="F228" s="34" t="n"/>
      <c r="G228" s="34" t="n"/>
      <c r="H228" s="34" t="n"/>
      <c r="I228" s="36" t="n"/>
      <c r="J228" s="46">
        <f>IF(G228="","",IFERROR(INDEX(Products!$B$2:$B$101,MATCH(G228,Products!$A$2:$A$101,0)),"Unknown SKU"))</f>
        <v/>
      </c>
      <c r="K228" s="34" t="n"/>
      <c r="L228" s="34" t="n"/>
      <c r="M228" s="36" t="n"/>
      <c r="N228" s="36" t="n"/>
      <c r="O228" s="44">
        <f>IF(OR(H228="",I228=""),"",H228*I228)</f>
        <v/>
      </c>
      <c r="P228" s="44">
        <f>IF(O228="","",O228*IFERROR(INDEX(Settings!$B$8:$B$15,MATCH(C228,Settings!$A$8:$A$15,0)),0))</f>
        <v/>
      </c>
      <c r="Q228" s="44">
        <f>IF(OR(G228="",H228=""),"",H228*IFERROR(INDEX(Products!$J$2:$J$101,MATCH(G228,Products!$A$2:$A$101,0)),0))</f>
        <v/>
      </c>
      <c r="R228" s="44">
        <f>IF(K228="Delivered",N(O228)+N(M228)-N(N228)-N(P228)-N(Q228),IF(OR(K228="Returned",K228="Failed delivery"),-N(N228),""))</f>
        <v/>
      </c>
      <c r="S228">
        <f>IF(E228="","",IF(MATCH(E228,$E$2:E228,0)&lt;ROWS($E$2:E228),"Repeat","New"))</f>
        <v/>
      </c>
      <c r="T228" s="34" t="n"/>
    </row>
    <row r="229">
      <c r="A229" s="34" t="n"/>
      <c r="B229" s="45" t="n"/>
      <c r="C229" s="34" t="n"/>
      <c r="D229" s="34" t="n"/>
      <c r="E229" s="47" t="n"/>
      <c r="F229" s="34" t="n"/>
      <c r="G229" s="34" t="n"/>
      <c r="H229" s="34" t="n"/>
      <c r="I229" s="36" t="n"/>
      <c r="J229" s="46">
        <f>IF(G229="","",IFERROR(INDEX(Products!$B$2:$B$101,MATCH(G229,Products!$A$2:$A$101,0)),"Unknown SKU"))</f>
        <v/>
      </c>
      <c r="K229" s="34" t="n"/>
      <c r="L229" s="34" t="n"/>
      <c r="M229" s="36" t="n"/>
      <c r="N229" s="36" t="n"/>
      <c r="O229" s="44">
        <f>IF(OR(H229="",I229=""),"",H229*I229)</f>
        <v/>
      </c>
      <c r="P229" s="44">
        <f>IF(O229="","",O229*IFERROR(INDEX(Settings!$B$8:$B$15,MATCH(C229,Settings!$A$8:$A$15,0)),0))</f>
        <v/>
      </c>
      <c r="Q229" s="44">
        <f>IF(OR(G229="",H229=""),"",H229*IFERROR(INDEX(Products!$J$2:$J$101,MATCH(G229,Products!$A$2:$A$101,0)),0))</f>
        <v/>
      </c>
      <c r="R229" s="44">
        <f>IF(K229="Delivered",N(O229)+N(M229)-N(N229)-N(P229)-N(Q229),IF(OR(K229="Returned",K229="Failed delivery"),-N(N229),""))</f>
        <v/>
      </c>
      <c r="S229">
        <f>IF(E229="","",IF(MATCH(E229,$E$2:E229,0)&lt;ROWS($E$2:E229),"Repeat","New"))</f>
        <v/>
      </c>
      <c r="T229" s="34" t="n"/>
    </row>
    <row r="230">
      <c r="A230" s="34" t="n"/>
      <c r="B230" s="45" t="n"/>
      <c r="C230" s="34" t="n"/>
      <c r="D230" s="34" t="n"/>
      <c r="E230" s="47" t="n"/>
      <c r="F230" s="34" t="n"/>
      <c r="G230" s="34" t="n"/>
      <c r="H230" s="34" t="n"/>
      <c r="I230" s="36" t="n"/>
      <c r="J230" s="46">
        <f>IF(G230="","",IFERROR(INDEX(Products!$B$2:$B$101,MATCH(G230,Products!$A$2:$A$101,0)),"Unknown SKU"))</f>
        <v/>
      </c>
      <c r="K230" s="34" t="n"/>
      <c r="L230" s="34" t="n"/>
      <c r="M230" s="36" t="n"/>
      <c r="N230" s="36" t="n"/>
      <c r="O230" s="44">
        <f>IF(OR(H230="",I230=""),"",H230*I230)</f>
        <v/>
      </c>
      <c r="P230" s="44">
        <f>IF(O230="","",O230*IFERROR(INDEX(Settings!$B$8:$B$15,MATCH(C230,Settings!$A$8:$A$15,0)),0))</f>
        <v/>
      </c>
      <c r="Q230" s="44">
        <f>IF(OR(G230="",H230=""),"",H230*IFERROR(INDEX(Products!$J$2:$J$101,MATCH(G230,Products!$A$2:$A$101,0)),0))</f>
        <v/>
      </c>
      <c r="R230" s="44">
        <f>IF(K230="Delivered",N(O230)+N(M230)-N(N230)-N(P230)-N(Q230),IF(OR(K230="Returned",K230="Failed delivery"),-N(N230),""))</f>
        <v/>
      </c>
      <c r="S230">
        <f>IF(E230="","",IF(MATCH(E230,$E$2:E230,0)&lt;ROWS($E$2:E230),"Repeat","New"))</f>
        <v/>
      </c>
      <c r="T230" s="34" t="n"/>
    </row>
    <row r="231">
      <c r="A231" s="34" t="n"/>
      <c r="B231" s="45" t="n"/>
      <c r="C231" s="34" t="n"/>
      <c r="D231" s="34" t="n"/>
      <c r="E231" s="47" t="n"/>
      <c r="F231" s="34" t="n"/>
      <c r="G231" s="34" t="n"/>
      <c r="H231" s="34" t="n"/>
      <c r="I231" s="36" t="n"/>
      <c r="J231" s="46">
        <f>IF(G231="","",IFERROR(INDEX(Products!$B$2:$B$101,MATCH(G231,Products!$A$2:$A$101,0)),"Unknown SKU"))</f>
        <v/>
      </c>
      <c r="K231" s="34" t="n"/>
      <c r="L231" s="34" t="n"/>
      <c r="M231" s="36" t="n"/>
      <c r="N231" s="36" t="n"/>
      <c r="O231" s="44">
        <f>IF(OR(H231="",I231=""),"",H231*I231)</f>
        <v/>
      </c>
      <c r="P231" s="44">
        <f>IF(O231="","",O231*IFERROR(INDEX(Settings!$B$8:$B$15,MATCH(C231,Settings!$A$8:$A$15,0)),0))</f>
        <v/>
      </c>
      <c r="Q231" s="44">
        <f>IF(OR(G231="",H231=""),"",H231*IFERROR(INDEX(Products!$J$2:$J$101,MATCH(G231,Products!$A$2:$A$101,0)),0))</f>
        <v/>
      </c>
      <c r="R231" s="44">
        <f>IF(K231="Delivered",N(O231)+N(M231)-N(N231)-N(P231)-N(Q231),IF(OR(K231="Returned",K231="Failed delivery"),-N(N231),""))</f>
        <v/>
      </c>
      <c r="S231">
        <f>IF(E231="","",IF(MATCH(E231,$E$2:E231,0)&lt;ROWS($E$2:E231),"Repeat","New"))</f>
        <v/>
      </c>
      <c r="T231" s="34" t="n"/>
    </row>
    <row r="232">
      <c r="A232" s="34" t="n"/>
      <c r="B232" s="45" t="n"/>
      <c r="C232" s="34" t="n"/>
      <c r="D232" s="34" t="n"/>
      <c r="E232" s="47" t="n"/>
      <c r="F232" s="34" t="n"/>
      <c r="G232" s="34" t="n"/>
      <c r="H232" s="34" t="n"/>
      <c r="I232" s="36" t="n"/>
      <c r="J232" s="46">
        <f>IF(G232="","",IFERROR(INDEX(Products!$B$2:$B$101,MATCH(G232,Products!$A$2:$A$101,0)),"Unknown SKU"))</f>
        <v/>
      </c>
      <c r="K232" s="34" t="n"/>
      <c r="L232" s="34" t="n"/>
      <c r="M232" s="36" t="n"/>
      <c r="N232" s="36" t="n"/>
      <c r="O232" s="44">
        <f>IF(OR(H232="",I232=""),"",H232*I232)</f>
        <v/>
      </c>
      <c r="P232" s="44">
        <f>IF(O232="","",O232*IFERROR(INDEX(Settings!$B$8:$B$15,MATCH(C232,Settings!$A$8:$A$15,0)),0))</f>
        <v/>
      </c>
      <c r="Q232" s="44">
        <f>IF(OR(G232="",H232=""),"",H232*IFERROR(INDEX(Products!$J$2:$J$101,MATCH(G232,Products!$A$2:$A$101,0)),0))</f>
        <v/>
      </c>
      <c r="R232" s="44">
        <f>IF(K232="Delivered",N(O232)+N(M232)-N(N232)-N(P232)-N(Q232),IF(OR(K232="Returned",K232="Failed delivery"),-N(N232),""))</f>
        <v/>
      </c>
      <c r="S232">
        <f>IF(E232="","",IF(MATCH(E232,$E$2:E232,0)&lt;ROWS($E$2:E232),"Repeat","New"))</f>
        <v/>
      </c>
      <c r="T232" s="34" t="n"/>
    </row>
    <row r="233">
      <c r="A233" s="34" t="n"/>
      <c r="B233" s="45" t="n"/>
      <c r="C233" s="34" t="n"/>
      <c r="D233" s="34" t="n"/>
      <c r="E233" s="47" t="n"/>
      <c r="F233" s="34" t="n"/>
      <c r="G233" s="34" t="n"/>
      <c r="H233" s="34" t="n"/>
      <c r="I233" s="36" t="n"/>
      <c r="J233" s="46">
        <f>IF(G233="","",IFERROR(INDEX(Products!$B$2:$B$101,MATCH(G233,Products!$A$2:$A$101,0)),"Unknown SKU"))</f>
        <v/>
      </c>
      <c r="K233" s="34" t="n"/>
      <c r="L233" s="34" t="n"/>
      <c r="M233" s="36" t="n"/>
      <c r="N233" s="36" t="n"/>
      <c r="O233" s="44">
        <f>IF(OR(H233="",I233=""),"",H233*I233)</f>
        <v/>
      </c>
      <c r="P233" s="44">
        <f>IF(O233="","",O233*IFERROR(INDEX(Settings!$B$8:$B$15,MATCH(C233,Settings!$A$8:$A$15,0)),0))</f>
        <v/>
      </c>
      <c r="Q233" s="44">
        <f>IF(OR(G233="",H233=""),"",H233*IFERROR(INDEX(Products!$J$2:$J$101,MATCH(G233,Products!$A$2:$A$101,0)),0))</f>
        <v/>
      </c>
      <c r="R233" s="44">
        <f>IF(K233="Delivered",N(O233)+N(M233)-N(N233)-N(P233)-N(Q233),IF(OR(K233="Returned",K233="Failed delivery"),-N(N233),""))</f>
        <v/>
      </c>
      <c r="S233">
        <f>IF(E233="","",IF(MATCH(E233,$E$2:E233,0)&lt;ROWS($E$2:E233),"Repeat","New"))</f>
        <v/>
      </c>
      <c r="T233" s="34" t="n"/>
    </row>
    <row r="234">
      <c r="A234" s="34" t="n"/>
      <c r="B234" s="45" t="n"/>
      <c r="C234" s="34" t="n"/>
      <c r="D234" s="34" t="n"/>
      <c r="E234" s="47" t="n"/>
      <c r="F234" s="34" t="n"/>
      <c r="G234" s="34" t="n"/>
      <c r="H234" s="34" t="n"/>
      <c r="I234" s="36" t="n"/>
      <c r="J234" s="46">
        <f>IF(G234="","",IFERROR(INDEX(Products!$B$2:$B$101,MATCH(G234,Products!$A$2:$A$101,0)),"Unknown SKU"))</f>
        <v/>
      </c>
      <c r="K234" s="34" t="n"/>
      <c r="L234" s="34" t="n"/>
      <c r="M234" s="36" t="n"/>
      <c r="N234" s="36" t="n"/>
      <c r="O234" s="44">
        <f>IF(OR(H234="",I234=""),"",H234*I234)</f>
        <v/>
      </c>
      <c r="P234" s="44">
        <f>IF(O234="","",O234*IFERROR(INDEX(Settings!$B$8:$B$15,MATCH(C234,Settings!$A$8:$A$15,0)),0))</f>
        <v/>
      </c>
      <c r="Q234" s="44">
        <f>IF(OR(G234="",H234=""),"",H234*IFERROR(INDEX(Products!$J$2:$J$101,MATCH(G234,Products!$A$2:$A$101,0)),0))</f>
        <v/>
      </c>
      <c r="R234" s="44">
        <f>IF(K234="Delivered",N(O234)+N(M234)-N(N234)-N(P234)-N(Q234),IF(OR(K234="Returned",K234="Failed delivery"),-N(N234),""))</f>
        <v/>
      </c>
      <c r="S234">
        <f>IF(E234="","",IF(MATCH(E234,$E$2:E234,0)&lt;ROWS($E$2:E234),"Repeat","New"))</f>
        <v/>
      </c>
      <c r="T234" s="34" t="n"/>
    </row>
    <row r="235">
      <c r="A235" s="34" t="n"/>
      <c r="B235" s="45" t="n"/>
      <c r="C235" s="34" t="n"/>
      <c r="D235" s="34" t="n"/>
      <c r="E235" s="47" t="n"/>
      <c r="F235" s="34" t="n"/>
      <c r="G235" s="34" t="n"/>
      <c r="H235" s="34" t="n"/>
      <c r="I235" s="36" t="n"/>
      <c r="J235" s="46">
        <f>IF(G235="","",IFERROR(INDEX(Products!$B$2:$B$101,MATCH(G235,Products!$A$2:$A$101,0)),"Unknown SKU"))</f>
        <v/>
      </c>
      <c r="K235" s="34" t="n"/>
      <c r="L235" s="34" t="n"/>
      <c r="M235" s="36" t="n"/>
      <c r="N235" s="36" t="n"/>
      <c r="O235" s="44">
        <f>IF(OR(H235="",I235=""),"",H235*I235)</f>
        <v/>
      </c>
      <c r="P235" s="44">
        <f>IF(O235="","",O235*IFERROR(INDEX(Settings!$B$8:$B$15,MATCH(C235,Settings!$A$8:$A$15,0)),0))</f>
        <v/>
      </c>
      <c r="Q235" s="44">
        <f>IF(OR(G235="",H235=""),"",H235*IFERROR(INDEX(Products!$J$2:$J$101,MATCH(G235,Products!$A$2:$A$101,0)),0))</f>
        <v/>
      </c>
      <c r="R235" s="44">
        <f>IF(K235="Delivered",N(O235)+N(M235)-N(N235)-N(P235)-N(Q235),IF(OR(K235="Returned",K235="Failed delivery"),-N(N235),""))</f>
        <v/>
      </c>
      <c r="S235">
        <f>IF(E235="","",IF(MATCH(E235,$E$2:E235,0)&lt;ROWS($E$2:E235),"Repeat","New"))</f>
        <v/>
      </c>
      <c r="T235" s="34" t="n"/>
    </row>
    <row r="236">
      <c r="A236" s="34" t="n"/>
      <c r="B236" s="45" t="n"/>
      <c r="C236" s="34" t="n"/>
      <c r="D236" s="34" t="n"/>
      <c r="E236" s="47" t="n"/>
      <c r="F236" s="34" t="n"/>
      <c r="G236" s="34" t="n"/>
      <c r="H236" s="34" t="n"/>
      <c r="I236" s="36" t="n"/>
      <c r="J236" s="46">
        <f>IF(G236="","",IFERROR(INDEX(Products!$B$2:$B$101,MATCH(G236,Products!$A$2:$A$101,0)),"Unknown SKU"))</f>
        <v/>
      </c>
      <c r="K236" s="34" t="n"/>
      <c r="L236" s="34" t="n"/>
      <c r="M236" s="36" t="n"/>
      <c r="N236" s="36" t="n"/>
      <c r="O236" s="44">
        <f>IF(OR(H236="",I236=""),"",H236*I236)</f>
        <v/>
      </c>
      <c r="P236" s="44">
        <f>IF(O236="","",O236*IFERROR(INDEX(Settings!$B$8:$B$15,MATCH(C236,Settings!$A$8:$A$15,0)),0))</f>
        <v/>
      </c>
      <c r="Q236" s="44">
        <f>IF(OR(G236="",H236=""),"",H236*IFERROR(INDEX(Products!$J$2:$J$101,MATCH(G236,Products!$A$2:$A$101,0)),0))</f>
        <v/>
      </c>
      <c r="R236" s="44">
        <f>IF(K236="Delivered",N(O236)+N(M236)-N(N236)-N(P236)-N(Q236),IF(OR(K236="Returned",K236="Failed delivery"),-N(N236),""))</f>
        <v/>
      </c>
      <c r="S236">
        <f>IF(E236="","",IF(MATCH(E236,$E$2:E236,0)&lt;ROWS($E$2:E236),"Repeat","New"))</f>
        <v/>
      </c>
      <c r="T236" s="34" t="n"/>
    </row>
    <row r="237">
      <c r="A237" s="34" t="n"/>
      <c r="B237" s="45" t="n"/>
      <c r="C237" s="34" t="n"/>
      <c r="D237" s="34" t="n"/>
      <c r="E237" s="47" t="n"/>
      <c r="F237" s="34" t="n"/>
      <c r="G237" s="34" t="n"/>
      <c r="H237" s="34" t="n"/>
      <c r="I237" s="36" t="n"/>
      <c r="J237" s="46">
        <f>IF(G237="","",IFERROR(INDEX(Products!$B$2:$B$101,MATCH(G237,Products!$A$2:$A$101,0)),"Unknown SKU"))</f>
        <v/>
      </c>
      <c r="K237" s="34" t="n"/>
      <c r="L237" s="34" t="n"/>
      <c r="M237" s="36" t="n"/>
      <c r="N237" s="36" t="n"/>
      <c r="O237" s="44">
        <f>IF(OR(H237="",I237=""),"",H237*I237)</f>
        <v/>
      </c>
      <c r="P237" s="44">
        <f>IF(O237="","",O237*IFERROR(INDEX(Settings!$B$8:$B$15,MATCH(C237,Settings!$A$8:$A$15,0)),0))</f>
        <v/>
      </c>
      <c r="Q237" s="44">
        <f>IF(OR(G237="",H237=""),"",H237*IFERROR(INDEX(Products!$J$2:$J$101,MATCH(G237,Products!$A$2:$A$101,0)),0))</f>
        <v/>
      </c>
      <c r="R237" s="44">
        <f>IF(K237="Delivered",N(O237)+N(M237)-N(N237)-N(P237)-N(Q237),IF(OR(K237="Returned",K237="Failed delivery"),-N(N237),""))</f>
        <v/>
      </c>
      <c r="S237">
        <f>IF(E237="","",IF(MATCH(E237,$E$2:E237,0)&lt;ROWS($E$2:E237),"Repeat","New"))</f>
        <v/>
      </c>
      <c r="T237" s="34" t="n"/>
    </row>
    <row r="238">
      <c r="A238" s="34" t="n"/>
      <c r="B238" s="45" t="n"/>
      <c r="C238" s="34" t="n"/>
      <c r="D238" s="34" t="n"/>
      <c r="E238" s="47" t="n"/>
      <c r="F238" s="34" t="n"/>
      <c r="G238" s="34" t="n"/>
      <c r="H238" s="34" t="n"/>
      <c r="I238" s="36" t="n"/>
      <c r="J238" s="46">
        <f>IF(G238="","",IFERROR(INDEX(Products!$B$2:$B$101,MATCH(G238,Products!$A$2:$A$101,0)),"Unknown SKU"))</f>
        <v/>
      </c>
      <c r="K238" s="34" t="n"/>
      <c r="L238" s="34" t="n"/>
      <c r="M238" s="36" t="n"/>
      <c r="N238" s="36" t="n"/>
      <c r="O238" s="44">
        <f>IF(OR(H238="",I238=""),"",H238*I238)</f>
        <v/>
      </c>
      <c r="P238" s="44">
        <f>IF(O238="","",O238*IFERROR(INDEX(Settings!$B$8:$B$15,MATCH(C238,Settings!$A$8:$A$15,0)),0))</f>
        <v/>
      </c>
      <c r="Q238" s="44">
        <f>IF(OR(G238="",H238=""),"",H238*IFERROR(INDEX(Products!$J$2:$J$101,MATCH(G238,Products!$A$2:$A$101,0)),0))</f>
        <v/>
      </c>
      <c r="R238" s="44">
        <f>IF(K238="Delivered",N(O238)+N(M238)-N(N238)-N(P238)-N(Q238),IF(OR(K238="Returned",K238="Failed delivery"),-N(N238),""))</f>
        <v/>
      </c>
      <c r="S238">
        <f>IF(E238="","",IF(MATCH(E238,$E$2:E238,0)&lt;ROWS($E$2:E238),"Repeat","New"))</f>
        <v/>
      </c>
      <c r="T238" s="34" t="n"/>
    </row>
    <row r="239">
      <c r="A239" s="34" t="n"/>
      <c r="B239" s="45" t="n"/>
      <c r="C239" s="34" t="n"/>
      <c r="D239" s="34" t="n"/>
      <c r="E239" s="47" t="n"/>
      <c r="F239" s="34" t="n"/>
      <c r="G239" s="34" t="n"/>
      <c r="H239" s="34" t="n"/>
      <c r="I239" s="36" t="n"/>
      <c r="J239" s="46">
        <f>IF(G239="","",IFERROR(INDEX(Products!$B$2:$B$101,MATCH(G239,Products!$A$2:$A$101,0)),"Unknown SKU"))</f>
        <v/>
      </c>
      <c r="K239" s="34" t="n"/>
      <c r="L239" s="34" t="n"/>
      <c r="M239" s="36" t="n"/>
      <c r="N239" s="36" t="n"/>
      <c r="O239" s="44">
        <f>IF(OR(H239="",I239=""),"",H239*I239)</f>
        <v/>
      </c>
      <c r="P239" s="44">
        <f>IF(O239="","",O239*IFERROR(INDEX(Settings!$B$8:$B$15,MATCH(C239,Settings!$A$8:$A$15,0)),0))</f>
        <v/>
      </c>
      <c r="Q239" s="44">
        <f>IF(OR(G239="",H239=""),"",H239*IFERROR(INDEX(Products!$J$2:$J$101,MATCH(G239,Products!$A$2:$A$101,0)),0))</f>
        <v/>
      </c>
      <c r="R239" s="44">
        <f>IF(K239="Delivered",N(O239)+N(M239)-N(N239)-N(P239)-N(Q239),IF(OR(K239="Returned",K239="Failed delivery"),-N(N239),""))</f>
        <v/>
      </c>
      <c r="S239">
        <f>IF(E239="","",IF(MATCH(E239,$E$2:E239,0)&lt;ROWS($E$2:E239),"Repeat","New"))</f>
        <v/>
      </c>
      <c r="T239" s="34" t="n"/>
    </row>
    <row r="240">
      <c r="A240" s="34" t="n"/>
      <c r="B240" s="45" t="n"/>
      <c r="C240" s="34" t="n"/>
      <c r="D240" s="34" t="n"/>
      <c r="E240" s="47" t="n"/>
      <c r="F240" s="34" t="n"/>
      <c r="G240" s="34" t="n"/>
      <c r="H240" s="34" t="n"/>
      <c r="I240" s="36" t="n"/>
      <c r="J240" s="46">
        <f>IF(G240="","",IFERROR(INDEX(Products!$B$2:$B$101,MATCH(G240,Products!$A$2:$A$101,0)),"Unknown SKU"))</f>
        <v/>
      </c>
      <c r="K240" s="34" t="n"/>
      <c r="L240" s="34" t="n"/>
      <c r="M240" s="36" t="n"/>
      <c r="N240" s="36" t="n"/>
      <c r="O240" s="44">
        <f>IF(OR(H240="",I240=""),"",H240*I240)</f>
        <v/>
      </c>
      <c r="P240" s="44">
        <f>IF(O240="","",O240*IFERROR(INDEX(Settings!$B$8:$B$15,MATCH(C240,Settings!$A$8:$A$15,0)),0))</f>
        <v/>
      </c>
      <c r="Q240" s="44">
        <f>IF(OR(G240="",H240=""),"",H240*IFERROR(INDEX(Products!$J$2:$J$101,MATCH(G240,Products!$A$2:$A$101,0)),0))</f>
        <v/>
      </c>
      <c r="R240" s="44">
        <f>IF(K240="Delivered",N(O240)+N(M240)-N(N240)-N(P240)-N(Q240),IF(OR(K240="Returned",K240="Failed delivery"),-N(N240),""))</f>
        <v/>
      </c>
      <c r="S240">
        <f>IF(E240="","",IF(MATCH(E240,$E$2:E240,0)&lt;ROWS($E$2:E240),"Repeat","New"))</f>
        <v/>
      </c>
      <c r="T240" s="34" t="n"/>
    </row>
    <row r="241">
      <c r="A241" s="34" t="n"/>
      <c r="B241" s="45" t="n"/>
      <c r="C241" s="34" t="n"/>
      <c r="D241" s="34" t="n"/>
      <c r="E241" s="47" t="n"/>
      <c r="F241" s="34" t="n"/>
      <c r="G241" s="34" t="n"/>
      <c r="H241" s="34" t="n"/>
      <c r="I241" s="36" t="n"/>
      <c r="J241" s="46">
        <f>IF(G241="","",IFERROR(INDEX(Products!$B$2:$B$101,MATCH(G241,Products!$A$2:$A$101,0)),"Unknown SKU"))</f>
        <v/>
      </c>
      <c r="K241" s="34" t="n"/>
      <c r="L241" s="34" t="n"/>
      <c r="M241" s="36" t="n"/>
      <c r="N241" s="36" t="n"/>
      <c r="O241" s="44">
        <f>IF(OR(H241="",I241=""),"",H241*I241)</f>
        <v/>
      </c>
      <c r="P241" s="44">
        <f>IF(O241="","",O241*IFERROR(INDEX(Settings!$B$8:$B$15,MATCH(C241,Settings!$A$8:$A$15,0)),0))</f>
        <v/>
      </c>
      <c r="Q241" s="44">
        <f>IF(OR(G241="",H241=""),"",H241*IFERROR(INDEX(Products!$J$2:$J$101,MATCH(G241,Products!$A$2:$A$101,0)),0))</f>
        <v/>
      </c>
      <c r="R241" s="44">
        <f>IF(K241="Delivered",N(O241)+N(M241)-N(N241)-N(P241)-N(Q241),IF(OR(K241="Returned",K241="Failed delivery"),-N(N241),""))</f>
        <v/>
      </c>
      <c r="S241">
        <f>IF(E241="","",IF(MATCH(E241,$E$2:E241,0)&lt;ROWS($E$2:E241),"Repeat","New"))</f>
        <v/>
      </c>
      <c r="T241" s="34" t="n"/>
    </row>
    <row r="242">
      <c r="A242" s="34" t="n"/>
      <c r="B242" s="45" t="n"/>
      <c r="C242" s="34" t="n"/>
      <c r="D242" s="34" t="n"/>
      <c r="E242" s="47" t="n"/>
      <c r="F242" s="34" t="n"/>
      <c r="G242" s="34" t="n"/>
      <c r="H242" s="34" t="n"/>
      <c r="I242" s="36" t="n"/>
      <c r="J242" s="46">
        <f>IF(G242="","",IFERROR(INDEX(Products!$B$2:$B$101,MATCH(G242,Products!$A$2:$A$101,0)),"Unknown SKU"))</f>
        <v/>
      </c>
      <c r="K242" s="34" t="n"/>
      <c r="L242" s="34" t="n"/>
      <c r="M242" s="36" t="n"/>
      <c r="N242" s="36" t="n"/>
      <c r="O242" s="44">
        <f>IF(OR(H242="",I242=""),"",H242*I242)</f>
        <v/>
      </c>
      <c r="P242" s="44">
        <f>IF(O242="","",O242*IFERROR(INDEX(Settings!$B$8:$B$15,MATCH(C242,Settings!$A$8:$A$15,0)),0))</f>
        <v/>
      </c>
      <c r="Q242" s="44">
        <f>IF(OR(G242="",H242=""),"",H242*IFERROR(INDEX(Products!$J$2:$J$101,MATCH(G242,Products!$A$2:$A$101,0)),0))</f>
        <v/>
      </c>
      <c r="R242" s="44">
        <f>IF(K242="Delivered",N(O242)+N(M242)-N(N242)-N(P242)-N(Q242),IF(OR(K242="Returned",K242="Failed delivery"),-N(N242),""))</f>
        <v/>
      </c>
      <c r="S242">
        <f>IF(E242="","",IF(MATCH(E242,$E$2:E242,0)&lt;ROWS($E$2:E242),"Repeat","New"))</f>
        <v/>
      </c>
      <c r="T242" s="34" t="n"/>
    </row>
    <row r="243">
      <c r="A243" s="34" t="n"/>
      <c r="B243" s="45" t="n"/>
      <c r="C243" s="34" t="n"/>
      <c r="D243" s="34" t="n"/>
      <c r="E243" s="47" t="n"/>
      <c r="F243" s="34" t="n"/>
      <c r="G243" s="34" t="n"/>
      <c r="H243" s="34" t="n"/>
      <c r="I243" s="36" t="n"/>
      <c r="J243" s="46">
        <f>IF(G243="","",IFERROR(INDEX(Products!$B$2:$B$101,MATCH(G243,Products!$A$2:$A$101,0)),"Unknown SKU"))</f>
        <v/>
      </c>
      <c r="K243" s="34" t="n"/>
      <c r="L243" s="34" t="n"/>
      <c r="M243" s="36" t="n"/>
      <c r="N243" s="36" t="n"/>
      <c r="O243" s="44">
        <f>IF(OR(H243="",I243=""),"",H243*I243)</f>
        <v/>
      </c>
      <c r="P243" s="44">
        <f>IF(O243="","",O243*IFERROR(INDEX(Settings!$B$8:$B$15,MATCH(C243,Settings!$A$8:$A$15,0)),0))</f>
        <v/>
      </c>
      <c r="Q243" s="44">
        <f>IF(OR(G243="",H243=""),"",H243*IFERROR(INDEX(Products!$J$2:$J$101,MATCH(G243,Products!$A$2:$A$101,0)),0))</f>
        <v/>
      </c>
      <c r="R243" s="44">
        <f>IF(K243="Delivered",N(O243)+N(M243)-N(N243)-N(P243)-N(Q243),IF(OR(K243="Returned",K243="Failed delivery"),-N(N243),""))</f>
        <v/>
      </c>
      <c r="S243">
        <f>IF(E243="","",IF(MATCH(E243,$E$2:E243,0)&lt;ROWS($E$2:E243),"Repeat","New"))</f>
        <v/>
      </c>
      <c r="T243" s="34" t="n"/>
    </row>
    <row r="244">
      <c r="A244" s="34" t="n"/>
      <c r="B244" s="45" t="n"/>
      <c r="C244" s="34" t="n"/>
      <c r="D244" s="34" t="n"/>
      <c r="E244" s="47" t="n"/>
      <c r="F244" s="34" t="n"/>
      <c r="G244" s="34" t="n"/>
      <c r="H244" s="34" t="n"/>
      <c r="I244" s="36" t="n"/>
      <c r="J244" s="46">
        <f>IF(G244="","",IFERROR(INDEX(Products!$B$2:$B$101,MATCH(G244,Products!$A$2:$A$101,0)),"Unknown SKU"))</f>
        <v/>
      </c>
      <c r="K244" s="34" t="n"/>
      <c r="L244" s="34" t="n"/>
      <c r="M244" s="36" t="n"/>
      <c r="N244" s="36" t="n"/>
      <c r="O244" s="44">
        <f>IF(OR(H244="",I244=""),"",H244*I244)</f>
        <v/>
      </c>
      <c r="P244" s="44">
        <f>IF(O244="","",O244*IFERROR(INDEX(Settings!$B$8:$B$15,MATCH(C244,Settings!$A$8:$A$15,0)),0))</f>
        <v/>
      </c>
      <c r="Q244" s="44">
        <f>IF(OR(G244="",H244=""),"",H244*IFERROR(INDEX(Products!$J$2:$J$101,MATCH(G244,Products!$A$2:$A$101,0)),0))</f>
        <v/>
      </c>
      <c r="R244" s="44">
        <f>IF(K244="Delivered",N(O244)+N(M244)-N(N244)-N(P244)-N(Q244),IF(OR(K244="Returned",K244="Failed delivery"),-N(N244),""))</f>
        <v/>
      </c>
      <c r="S244">
        <f>IF(E244="","",IF(MATCH(E244,$E$2:E244,0)&lt;ROWS($E$2:E244),"Repeat","New"))</f>
        <v/>
      </c>
      <c r="T244" s="34" t="n"/>
    </row>
    <row r="245">
      <c r="A245" s="34" t="n"/>
      <c r="B245" s="45" t="n"/>
      <c r="C245" s="34" t="n"/>
      <c r="D245" s="34" t="n"/>
      <c r="E245" s="47" t="n"/>
      <c r="F245" s="34" t="n"/>
      <c r="G245" s="34" t="n"/>
      <c r="H245" s="34" t="n"/>
      <c r="I245" s="36" t="n"/>
      <c r="J245" s="46">
        <f>IF(G245="","",IFERROR(INDEX(Products!$B$2:$B$101,MATCH(G245,Products!$A$2:$A$101,0)),"Unknown SKU"))</f>
        <v/>
      </c>
      <c r="K245" s="34" t="n"/>
      <c r="L245" s="34" t="n"/>
      <c r="M245" s="36" t="n"/>
      <c r="N245" s="36" t="n"/>
      <c r="O245" s="44">
        <f>IF(OR(H245="",I245=""),"",H245*I245)</f>
        <v/>
      </c>
      <c r="P245" s="44">
        <f>IF(O245="","",O245*IFERROR(INDEX(Settings!$B$8:$B$15,MATCH(C245,Settings!$A$8:$A$15,0)),0))</f>
        <v/>
      </c>
      <c r="Q245" s="44">
        <f>IF(OR(G245="",H245=""),"",H245*IFERROR(INDEX(Products!$J$2:$J$101,MATCH(G245,Products!$A$2:$A$101,0)),0))</f>
        <v/>
      </c>
      <c r="R245" s="44">
        <f>IF(K245="Delivered",N(O245)+N(M245)-N(N245)-N(P245)-N(Q245),IF(OR(K245="Returned",K245="Failed delivery"),-N(N245),""))</f>
        <v/>
      </c>
      <c r="S245">
        <f>IF(E245="","",IF(MATCH(E245,$E$2:E245,0)&lt;ROWS($E$2:E245),"Repeat","New"))</f>
        <v/>
      </c>
      <c r="T245" s="34" t="n"/>
    </row>
    <row r="246">
      <c r="A246" s="34" t="n"/>
      <c r="B246" s="45" t="n"/>
      <c r="C246" s="34" t="n"/>
      <c r="D246" s="34" t="n"/>
      <c r="E246" s="47" t="n"/>
      <c r="F246" s="34" t="n"/>
      <c r="G246" s="34" t="n"/>
      <c r="H246" s="34" t="n"/>
      <c r="I246" s="36" t="n"/>
      <c r="J246" s="46">
        <f>IF(G246="","",IFERROR(INDEX(Products!$B$2:$B$101,MATCH(G246,Products!$A$2:$A$101,0)),"Unknown SKU"))</f>
        <v/>
      </c>
      <c r="K246" s="34" t="n"/>
      <c r="L246" s="34" t="n"/>
      <c r="M246" s="36" t="n"/>
      <c r="N246" s="36" t="n"/>
      <c r="O246" s="44">
        <f>IF(OR(H246="",I246=""),"",H246*I246)</f>
        <v/>
      </c>
      <c r="P246" s="44">
        <f>IF(O246="","",O246*IFERROR(INDEX(Settings!$B$8:$B$15,MATCH(C246,Settings!$A$8:$A$15,0)),0))</f>
        <v/>
      </c>
      <c r="Q246" s="44">
        <f>IF(OR(G246="",H246=""),"",H246*IFERROR(INDEX(Products!$J$2:$J$101,MATCH(G246,Products!$A$2:$A$101,0)),0))</f>
        <v/>
      </c>
      <c r="R246" s="44">
        <f>IF(K246="Delivered",N(O246)+N(M246)-N(N246)-N(P246)-N(Q246),IF(OR(K246="Returned",K246="Failed delivery"),-N(N246),""))</f>
        <v/>
      </c>
      <c r="S246">
        <f>IF(E246="","",IF(MATCH(E246,$E$2:E246,0)&lt;ROWS($E$2:E246),"Repeat","New"))</f>
        <v/>
      </c>
      <c r="T246" s="34" t="n"/>
    </row>
    <row r="247">
      <c r="A247" s="34" t="n"/>
      <c r="B247" s="45" t="n"/>
      <c r="C247" s="34" t="n"/>
      <c r="D247" s="34" t="n"/>
      <c r="E247" s="47" t="n"/>
      <c r="F247" s="34" t="n"/>
      <c r="G247" s="34" t="n"/>
      <c r="H247" s="34" t="n"/>
      <c r="I247" s="36" t="n"/>
      <c r="J247" s="46">
        <f>IF(G247="","",IFERROR(INDEX(Products!$B$2:$B$101,MATCH(G247,Products!$A$2:$A$101,0)),"Unknown SKU"))</f>
        <v/>
      </c>
      <c r="K247" s="34" t="n"/>
      <c r="L247" s="34" t="n"/>
      <c r="M247" s="36" t="n"/>
      <c r="N247" s="36" t="n"/>
      <c r="O247" s="44">
        <f>IF(OR(H247="",I247=""),"",H247*I247)</f>
        <v/>
      </c>
      <c r="P247" s="44">
        <f>IF(O247="","",O247*IFERROR(INDEX(Settings!$B$8:$B$15,MATCH(C247,Settings!$A$8:$A$15,0)),0))</f>
        <v/>
      </c>
      <c r="Q247" s="44">
        <f>IF(OR(G247="",H247=""),"",H247*IFERROR(INDEX(Products!$J$2:$J$101,MATCH(G247,Products!$A$2:$A$101,0)),0))</f>
        <v/>
      </c>
      <c r="R247" s="44">
        <f>IF(K247="Delivered",N(O247)+N(M247)-N(N247)-N(P247)-N(Q247),IF(OR(K247="Returned",K247="Failed delivery"),-N(N247),""))</f>
        <v/>
      </c>
      <c r="S247">
        <f>IF(E247="","",IF(MATCH(E247,$E$2:E247,0)&lt;ROWS($E$2:E247),"Repeat","New"))</f>
        <v/>
      </c>
      <c r="T247" s="34" t="n"/>
    </row>
    <row r="248">
      <c r="A248" s="34" t="n"/>
      <c r="B248" s="45" t="n"/>
      <c r="C248" s="34" t="n"/>
      <c r="D248" s="34" t="n"/>
      <c r="E248" s="47" t="n"/>
      <c r="F248" s="34" t="n"/>
      <c r="G248" s="34" t="n"/>
      <c r="H248" s="34" t="n"/>
      <c r="I248" s="36" t="n"/>
      <c r="J248" s="46">
        <f>IF(G248="","",IFERROR(INDEX(Products!$B$2:$B$101,MATCH(G248,Products!$A$2:$A$101,0)),"Unknown SKU"))</f>
        <v/>
      </c>
      <c r="K248" s="34" t="n"/>
      <c r="L248" s="34" t="n"/>
      <c r="M248" s="36" t="n"/>
      <c r="N248" s="36" t="n"/>
      <c r="O248" s="44">
        <f>IF(OR(H248="",I248=""),"",H248*I248)</f>
        <v/>
      </c>
      <c r="P248" s="44">
        <f>IF(O248="","",O248*IFERROR(INDEX(Settings!$B$8:$B$15,MATCH(C248,Settings!$A$8:$A$15,0)),0))</f>
        <v/>
      </c>
      <c r="Q248" s="44">
        <f>IF(OR(G248="",H248=""),"",H248*IFERROR(INDEX(Products!$J$2:$J$101,MATCH(G248,Products!$A$2:$A$101,0)),0))</f>
        <v/>
      </c>
      <c r="R248" s="44">
        <f>IF(K248="Delivered",N(O248)+N(M248)-N(N248)-N(P248)-N(Q248),IF(OR(K248="Returned",K248="Failed delivery"),-N(N248),""))</f>
        <v/>
      </c>
      <c r="S248">
        <f>IF(E248="","",IF(MATCH(E248,$E$2:E248,0)&lt;ROWS($E$2:E248),"Repeat","New"))</f>
        <v/>
      </c>
      <c r="T248" s="34" t="n"/>
    </row>
    <row r="249">
      <c r="A249" s="34" t="n"/>
      <c r="B249" s="45" t="n"/>
      <c r="C249" s="34" t="n"/>
      <c r="D249" s="34" t="n"/>
      <c r="E249" s="47" t="n"/>
      <c r="F249" s="34" t="n"/>
      <c r="G249" s="34" t="n"/>
      <c r="H249" s="34" t="n"/>
      <c r="I249" s="36" t="n"/>
      <c r="J249" s="46">
        <f>IF(G249="","",IFERROR(INDEX(Products!$B$2:$B$101,MATCH(G249,Products!$A$2:$A$101,0)),"Unknown SKU"))</f>
        <v/>
      </c>
      <c r="K249" s="34" t="n"/>
      <c r="L249" s="34" t="n"/>
      <c r="M249" s="36" t="n"/>
      <c r="N249" s="36" t="n"/>
      <c r="O249" s="44">
        <f>IF(OR(H249="",I249=""),"",H249*I249)</f>
        <v/>
      </c>
      <c r="P249" s="44">
        <f>IF(O249="","",O249*IFERROR(INDEX(Settings!$B$8:$B$15,MATCH(C249,Settings!$A$8:$A$15,0)),0))</f>
        <v/>
      </c>
      <c r="Q249" s="44">
        <f>IF(OR(G249="",H249=""),"",H249*IFERROR(INDEX(Products!$J$2:$J$101,MATCH(G249,Products!$A$2:$A$101,0)),0))</f>
        <v/>
      </c>
      <c r="R249" s="44">
        <f>IF(K249="Delivered",N(O249)+N(M249)-N(N249)-N(P249)-N(Q249),IF(OR(K249="Returned",K249="Failed delivery"),-N(N249),""))</f>
        <v/>
      </c>
      <c r="S249">
        <f>IF(E249="","",IF(MATCH(E249,$E$2:E249,0)&lt;ROWS($E$2:E249),"Repeat","New"))</f>
        <v/>
      </c>
      <c r="T249" s="34" t="n"/>
    </row>
    <row r="250">
      <c r="A250" s="34" t="n"/>
      <c r="B250" s="45" t="n"/>
      <c r="C250" s="34" t="n"/>
      <c r="D250" s="34" t="n"/>
      <c r="E250" s="47" t="n"/>
      <c r="F250" s="34" t="n"/>
      <c r="G250" s="34" t="n"/>
      <c r="H250" s="34" t="n"/>
      <c r="I250" s="36" t="n"/>
      <c r="J250" s="46">
        <f>IF(G250="","",IFERROR(INDEX(Products!$B$2:$B$101,MATCH(G250,Products!$A$2:$A$101,0)),"Unknown SKU"))</f>
        <v/>
      </c>
      <c r="K250" s="34" t="n"/>
      <c r="L250" s="34" t="n"/>
      <c r="M250" s="36" t="n"/>
      <c r="N250" s="36" t="n"/>
      <c r="O250" s="44">
        <f>IF(OR(H250="",I250=""),"",H250*I250)</f>
        <v/>
      </c>
      <c r="P250" s="44">
        <f>IF(O250="","",O250*IFERROR(INDEX(Settings!$B$8:$B$15,MATCH(C250,Settings!$A$8:$A$15,0)),0))</f>
        <v/>
      </c>
      <c r="Q250" s="44">
        <f>IF(OR(G250="",H250=""),"",H250*IFERROR(INDEX(Products!$J$2:$J$101,MATCH(G250,Products!$A$2:$A$101,0)),0))</f>
        <v/>
      </c>
      <c r="R250" s="44">
        <f>IF(K250="Delivered",N(O250)+N(M250)-N(N250)-N(P250)-N(Q250),IF(OR(K250="Returned",K250="Failed delivery"),-N(N250),""))</f>
        <v/>
      </c>
      <c r="S250">
        <f>IF(E250="","",IF(MATCH(E250,$E$2:E250,0)&lt;ROWS($E$2:E250),"Repeat","New"))</f>
        <v/>
      </c>
      <c r="T250" s="34" t="n"/>
    </row>
    <row r="251">
      <c r="A251" s="34" t="n"/>
      <c r="B251" s="45" t="n"/>
      <c r="C251" s="34" t="n"/>
      <c r="D251" s="34" t="n"/>
      <c r="E251" s="47" t="n"/>
      <c r="F251" s="34" t="n"/>
      <c r="G251" s="34" t="n"/>
      <c r="H251" s="34" t="n"/>
      <c r="I251" s="36" t="n"/>
      <c r="J251" s="46">
        <f>IF(G251="","",IFERROR(INDEX(Products!$B$2:$B$101,MATCH(G251,Products!$A$2:$A$101,0)),"Unknown SKU"))</f>
        <v/>
      </c>
      <c r="K251" s="34" t="n"/>
      <c r="L251" s="34" t="n"/>
      <c r="M251" s="36" t="n"/>
      <c r="N251" s="36" t="n"/>
      <c r="O251" s="44">
        <f>IF(OR(H251="",I251=""),"",H251*I251)</f>
        <v/>
      </c>
      <c r="P251" s="44">
        <f>IF(O251="","",O251*IFERROR(INDEX(Settings!$B$8:$B$15,MATCH(C251,Settings!$A$8:$A$15,0)),0))</f>
        <v/>
      </c>
      <c r="Q251" s="44">
        <f>IF(OR(G251="",H251=""),"",H251*IFERROR(INDEX(Products!$J$2:$J$101,MATCH(G251,Products!$A$2:$A$101,0)),0))</f>
        <v/>
      </c>
      <c r="R251" s="44">
        <f>IF(K251="Delivered",N(O251)+N(M251)-N(N251)-N(P251)-N(Q251),IF(OR(K251="Returned",K251="Failed delivery"),-N(N251),""))</f>
        <v/>
      </c>
      <c r="S251">
        <f>IF(E251="","",IF(MATCH(E251,$E$2:E251,0)&lt;ROWS($E$2:E251),"Repeat","New"))</f>
        <v/>
      </c>
      <c r="T251" s="34" t="n"/>
    </row>
    <row r="252">
      <c r="A252" s="34" t="n"/>
      <c r="B252" s="45" t="n"/>
      <c r="C252" s="34" t="n"/>
      <c r="D252" s="34" t="n"/>
      <c r="E252" s="47" t="n"/>
      <c r="F252" s="34" t="n"/>
      <c r="G252" s="34" t="n"/>
      <c r="H252" s="34" t="n"/>
      <c r="I252" s="36" t="n"/>
      <c r="J252" s="46">
        <f>IF(G252="","",IFERROR(INDEX(Products!$B$2:$B$101,MATCH(G252,Products!$A$2:$A$101,0)),"Unknown SKU"))</f>
        <v/>
      </c>
      <c r="K252" s="34" t="n"/>
      <c r="L252" s="34" t="n"/>
      <c r="M252" s="36" t="n"/>
      <c r="N252" s="36" t="n"/>
      <c r="O252" s="44">
        <f>IF(OR(H252="",I252=""),"",H252*I252)</f>
        <v/>
      </c>
      <c r="P252" s="44">
        <f>IF(O252="","",O252*IFERROR(INDEX(Settings!$B$8:$B$15,MATCH(C252,Settings!$A$8:$A$15,0)),0))</f>
        <v/>
      </c>
      <c r="Q252" s="44">
        <f>IF(OR(G252="",H252=""),"",H252*IFERROR(INDEX(Products!$J$2:$J$101,MATCH(G252,Products!$A$2:$A$101,0)),0))</f>
        <v/>
      </c>
      <c r="R252" s="44">
        <f>IF(K252="Delivered",N(O252)+N(M252)-N(N252)-N(P252)-N(Q252),IF(OR(K252="Returned",K252="Failed delivery"),-N(N252),""))</f>
        <v/>
      </c>
      <c r="S252">
        <f>IF(E252="","",IF(MATCH(E252,$E$2:E252,0)&lt;ROWS($E$2:E252),"Repeat","New"))</f>
        <v/>
      </c>
      <c r="T252" s="34" t="n"/>
    </row>
    <row r="253">
      <c r="A253" s="34" t="n"/>
      <c r="B253" s="45" t="n"/>
      <c r="C253" s="34" t="n"/>
      <c r="D253" s="34" t="n"/>
      <c r="E253" s="47" t="n"/>
      <c r="F253" s="34" t="n"/>
      <c r="G253" s="34" t="n"/>
      <c r="H253" s="34" t="n"/>
      <c r="I253" s="36" t="n"/>
      <c r="J253" s="46">
        <f>IF(G253="","",IFERROR(INDEX(Products!$B$2:$B$101,MATCH(G253,Products!$A$2:$A$101,0)),"Unknown SKU"))</f>
        <v/>
      </c>
      <c r="K253" s="34" t="n"/>
      <c r="L253" s="34" t="n"/>
      <c r="M253" s="36" t="n"/>
      <c r="N253" s="36" t="n"/>
      <c r="O253" s="44">
        <f>IF(OR(H253="",I253=""),"",H253*I253)</f>
        <v/>
      </c>
      <c r="P253" s="44">
        <f>IF(O253="","",O253*IFERROR(INDEX(Settings!$B$8:$B$15,MATCH(C253,Settings!$A$8:$A$15,0)),0))</f>
        <v/>
      </c>
      <c r="Q253" s="44">
        <f>IF(OR(G253="",H253=""),"",H253*IFERROR(INDEX(Products!$J$2:$J$101,MATCH(G253,Products!$A$2:$A$101,0)),0))</f>
        <v/>
      </c>
      <c r="R253" s="44">
        <f>IF(K253="Delivered",N(O253)+N(M253)-N(N253)-N(P253)-N(Q253),IF(OR(K253="Returned",K253="Failed delivery"),-N(N253),""))</f>
        <v/>
      </c>
      <c r="S253">
        <f>IF(E253="","",IF(MATCH(E253,$E$2:E253,0)&lt;ROWS($E$2:E253),"Repeat","New"))</f>
        <v/>
      </c>
      <c r="T253" s="34" t="n"/>
    </row>
    <row r="254">
      <c r="A254" s="34" t="n"/>
      <c r="B254" s="45" t="n"/>
      <c r="C254" s="34" t="n"/>
      <c r="D254" s="34" t="n"/>
      <c r="E254" s="47" t="n"/>
      <c r="F254" s="34" t="n"/>
      <c r="G254" s="34" t="n"/>
      <c r="H254" s="34" t="n"/>
      <c r="I254" s="36" t="n"/>
      <c r="J254" s="46">
        <f>IF(G254="","",IFERROR(INDEX(Products!$B$2:$B$101,MATCH(G254,Products!$A$2:$A$101,0)),"Unknown SKU"))</f>
        <v/>
      </c>
      <c r="K254" s="34" t="n"/>
      <c r="L254" s="34" t="n"/>
      <c r="M254" s="36" t="n"/>
      <c r="N254" s="36" t="n"/>
      <c r="O254" s="44">
        <f>IF(OR(H254="",I254=""),"",H254*I254)</f>
        <v/>
      </c>
      <c r="P254" s="44">
        <f>IF(O254="","",O254*IFERROR(INDEX(Settings!$B$8:$B$15,MATCH(C254,Settings!$A$8:$A$15,0)),0))</f>
        <v/>
      </c>
      <c r="Q254" s="44">
        <f>IF(OR(G254="",H254=""),"",H254*IFERROR(INDEX(Products!$J$2:$J$101,MATCH(G254,Products!$A$2:$A$101,0)),0))</f>
        <v/>
      </c>
      <c r="R254" s="44">
        <f>IF(K254="Delivered",N(O254)+N(M254)-N(N254)-N(P254)-N(Q254),IF(OR(K254="Returned",K254="Failed delivery"),-N(N254),""))</f>
        <v/>
      </c>
      <c r="S254">
        <f>IF(E254="","",IF(MATCH(E254,$E$2:E254,0)&lt;ROWS($E$2:E254),"Repeat","New"))</f>
        <v/>
      </c>
      <c r="T254" s="34" t="n"/>
    </row>
    <row r="255">
      <c r="A255" s="34" t="n"/>
      <c r="B255" s="45" t="n"/>
      <c r="C255" s="34" t="n"/>
      <c r="D255" s="34" t="n"/>
      <c r="E255" s="47" t="n"/>
      <c r="F255" s="34" t="n"/>
      <c r="G255" s="34" t="n"/>
      <c r="H255" s="34" t="n"/>
      <c r="I255" s="36" t="n"/>
      <c r="J255" s="46">
        <f>IF(G255="","",IFERROR(INDEX(Products!$B$2:$B$101,MATCH(G255,Products!$A$2:$A$101,0)),"Unknown SKU"))</f>
        <v/>
      </c>
      <c r="K255" s="34" t="n"/>
      <c r="L255" s="34" t="n"/>
      <c r="M255" s="36" t="n"/>
      <c r="N255" s="36" t="n"/>
      <c r="O255" s="44">
        <f>IF(OR(H255="",I255=""),"",H255*I255)</f>
        <v/>
      </c>
      <c r="P255" s="44">
        <f>IF(O255="","",O255*IFERROR(INDEX(Settings!$B$8:$B$15,MATCH(C255,Settings!$A$8:$A$15,0)),0))</f>
        <v/>
      </c>
      <c r="Q255" s="44">
        <f>IF(OR(G255="",H255=""),"",H255*IFERROR(INDEX(Products!$J$2:$J$101,MATCH(G255,Products!$A$2:$A$101,0)),0))</f>
        <v/>
      </c>
      <c r="R255" s="44">
        <f>IF(K255="Delivered",N(O255)+N(M255)-N(N255)-N(P255)-N(Q255),IF(OR(K255="Returned",K255="Failed delivery"),-N(N255),""))</f>
        <v/>
      </c>
      <c r="S255">
        <f>IF(E255="","",IF(MATCH(E255,$E$2:E255,0)&lt;ROWS($E$2:E255),"Repeat","New"))</f>
        <v/>
      </c>
      <c r="T255" s="34" t="n"/>
    </row>
    <row r="256">
      <c r="A256" s="34" t="n"/>
      <c r="B256" s="45" t="n"/>
      <c r="C256" s="34" t="n"/>
      <c r="D256" s="34" t="n"/>
      <c r="E256" s="47" t="n"/>
      <c r="F256" s="34" t="n"/>
      <c r="G256" s="34" t="n"/>
      <c r="H256" s="34" t="n"/>
      <c r="I256" s="36" t="n"/>
      <c r="J256" s="46">
        <f>IF(G256="","",IFERROR(INDEX(Products!$B$2:$B$101,MATCH(G256,Products!$A$2:$A$101,0)),"Unknown SKU"))</f>
        <v/>
      </c>
      <c r="K256" s="34" t="n"/>
      <c r="L256" s="34" t="n"/>
      <c r="M256" s="36" t="n"/>
      <c r="N256" s="36" t="n"/>
      <c r="O256" s="44">
        <f>IF(OR(H256="",I256=""),"",H256*I256)</f>
        <v/>
      </c>
      <c r="P256" s="44">
        <f>IF(O256="","",O256*IFERROR(INDEX(Settings!$B$8:$B$15,MATCH(C256,Settings!$A$8:$A$15,0)),0))</f>
        <v/>
      </c>
      <c r="Q256" s="44">
        <f>IF(OR(G256="",H256=""),"",H256*IFERROR(INDEX(Products!$J$2:$J$101,MATCH(G256,Products!$A$2:$A$101,0)),0))</f>
        <v/>
      </c>
      <c r="R256" s="44">
        <f>IF(K256="Delivered",N(O256)+N(M256)-N(N256)-N(P256)-N(Q256),IF(OR(K256="Returned",K256="Failed delivery"),-N(N256),""))</f>
        <v/>
      </c>
      <c r="S256">
        <f>IF(E256="","",IF(MATCH(E256,$E$2:E256,0)&lt;ROWS($E$2:E256),"Repeat","New"))</f>
        <v/>
      </c>
      <c r="T256" s="34" t="n"/>
    </row>
    <row r="257">
      <c r="A257" s="34" t="n"/>
      <c r="B257" s="45" t="n"/>
      <c r="C257" s="34" t="n"/>
      <c r="D257" s="34" t="n"/>
      <c r="E257" s="47" t="n"/>
      <c r="F257" s="34" t="n"/>
      <c r="G257" s="34" t="n"/>
      <c r="H257" s="34" t="n"/>
      <c r="I257" s="36" t="n"/>
      <c r="J257" s="46">
        <f>IF(G257="","",IFERROR(INDEX(Products!$B$2:$B$101,MATCH(G257,Products!$A$2:$A$101,0)),"Unknown SKU"))</f>
        <v/>
      </c>
      <c r="K257" s="34" t="n"/>
      <c r="L257" s="34" t="n"/>
      <c r="M257" s="36" t="n"/>
      <c r="N257" s="36" t="n"/>
      <c r="O257" s="44">
        <f>IF(OR(H257="",I257=""),"",H257*I257)</f>
        <v/>
      </c>
      <c r="P257" s="44">
        <f>IF(O257="","",O257*IFERROR(INDEX(Settings!$B$8:$B$15,MATCH(C257,Settings!$A$8:$A$15,0)),0))</f>
        <v/>
      </c>
      <c r="Q257" s="44">
        <f>IF(OR(G257="",H257=""),"",H257*IFERROR(INDEX(Products!$J$2:$J$101,MATCH(G257,Products!$A$2:$A$101,0)),0))</f>
        <v/>
      </c>
      <c r="R257" s="44">
        <f>IF(K257="Delivered",N(O257)+N(M257)-N(N257)-N(P257)-N(Q257),IF(OR(K257="Returned",K257="Failed delivery"),-N(N257),""))</f>
        <v/>
      </c>
      <c r="S257">
        <f>IF(E257="","",IF(MATCH(E257,$E$2:E257,0)&lt;ROWS($E$2:E257),"Repeat","New"))</f>
        <v/>
      </c>
      <c r="T257" s="34" t="n"/>
    </row>
    <row r="258">
      <c r="A258" s="34" t="n"/>
      <c r="B258" s="45" t="n"/>
      <c r="C258" s="34" t="n"/>
      <c r="D258" s="34" t="n"/>
      <c r="E258" s="47" t="n"/>
      <c r="F258" s="34" t="n"/>
      <c r="G258" s="34" t="n"/>
      <c r="H258" s="34" t="n"/>
      <c r="I258" s="36" t="n"/>
      <c r="J258" s="46">
        <f>IF(G258="","",IFERROR(INDEX(Products!$B$2:$B$101,MATCH(G258,Products!$A$2:$A$101,0)),"Unknown SKU"))</f>
        <v/>
      </c>
      <c r="K258" s="34" t="n"/>
      <c r="L258" s="34" t="n"/>
      <c r="M258" s="36" t="n"/>
      <c r="N258" s="36" t="n"/>
      <c r="O258" s="44">
        <f>IF(OR(H258="",I258=""),"",H258*I258)</f>
        <v/>
      </c>
      <c r="P258" s="44">
        <f>IF(O258="","",O258*IFERROR(INDEX(Settings!$B$8:$B$15,MATCH(C258,Settings!$A$8:$A$15,0)),0))</f>
        <v/>
      </c>
      <c r="Q258" s="44">
        <f>IF(OR(G258="",H258=""),"",H258*IFERROR(INDEX(Products!$J$2:$J$101,MATCH(G258,Products!$A$2:$A$101,0)),0))</f>
        <v/>
      </c>
      <c r="R258" s="44">
        <f>IF(K258="Delivered",N(O258)+N(M258)-N(N258)-N(P258)-N(Q258),IF(OR(K258="Returned",K258="Failed delivery"),-N(N258),""))</f>
        <v/>
      </c>
      <c r="S258">
        <f>IF(E258="","",IF(MATCH(E258,$E$2:E258,0)&lt;ROWS($E$2:E258),"Repeat","New"))</f>
        <v/>
      </c>
      <c r="T258" s="34" t="n"/>
    </row>
    <row r="259">
      <c r="A259" s="34" t="n"/>
      <c r="B259" s="45" t="n"/>
      <c r="C259" s="34" t="n"/>
      <c r="D259" s="34" t="n"/>
      <c r="E259" s="47" t="n"/>
      <c r="F259" s="34" t="n"/>
      <c r="G259" s="34" t="n"/>
      <c r="H259" s="34" t="n"/>
      <c r="I259" s="36" t="n"/>
      <c r="J259" s="46">
        <f>IF(G259="","",IFERROR(INDEX(Products!$B$2:$B$101,MATCH(G259,Products!$A$2:$A$101,0)),"Unknown SKU"))</f>
        <v/>
      </c>
      <c r="K259" s="34" t="n"/>
      <c r="L259" s="34" t="n"/>
      <c r="M259" s="36" t="n"/>
      <c r="N259" s="36" t="n"/>
      <c r="O259" s="44">
        <f>IF(OR(H259="",I259=""),"",H259*I259)</f>
        <v/>
      </c>
      <c r="P259" s="44">
        <f>IF(O259="","",O259*IFERROR(INDEX(Settings!$B$8:$B$15,MATCH(C259,Settings!$A$8:$A$15,0)),0))</f>
        <v/>
      </c>
      <c r="Q259" s="44">
        <f>IF(OR(G259="",H259=""),"",H259*IFERROR(INDEX(Products!$J$2:$J$101,MATCH(G259,Products!$A$2:$A$101,0)),0))</f>
        <v/>
      </c>
      <c r="R259" s="44">
        <f>IF(K259="Delivered",N(O259)+N(M259)-N(N259)-N(P259)-N(Q259),IF(OR(K259="Returned",K259="Failed delivery"),-N(N259),""))</f>
        <v/>
      </c>
      <c r="S259">
        <f>IF(E259="","",IF(MATCH(E259,$E$2:E259,0)&lt;ROWS($E$2:E259),"Repeat","New"))</f>
        <v/>
      </c>
      <c r="T259" s="34" t="n"/>
    </row>
    <row r="260">
      <c r="A260" s="34" t="n"/>
      <c r="B260" s="45" t="n"/>
      <c r="C260" s="34" t="n"/>
      <c r="D260" s="34" t="n"/>
      <c r="E260" s="47" t="n"/>
      <c r="F260" s="34" t="n"/>
      <c r="G260" s="34" t="n"/>
      <c r="H260" s="34" t="n"/>
      <c r="I260" s="36" t="n"/>
      <c r="J260" s="46">
        <f>IF(G260="","",IFERROR(INDEX(Products!$B$2:$B$101,MATCH(G260,Products!$A$2:$A$101,0)),"Unknown SKU"))</f>
        <v/>
      </c>
      <c r="K260" s="34" t="n"/>
      <c r="L260" s="34" t="n"/>
      <c r="M260" s="36" t="n"/>
      <c r="N260" s="36" t="n"/>
      <c r="O260" s="44">
        <f>IF(OR(H260="",I260=""),"",H260*I260)</f>
        <v/>
      </c>
      <c r="P260" s="44">
        <f>IF(O260="","",O260*IFERROR(INDEX(Settings!$B$8:$B$15,MATCH(C260,Settings!$A$8:$A$15,0)),0))</f>
        <v/>
      </c>
      <c r="Q260" s="44">
        <f>IF(OR(G260="",H260=""),"",H260*IFERROR(INDEX(Products!$J$2:$J$101,MATCH(G260,Products!$A$2:$A$101,0)),0))</f>
        <v/>
      </c>
      <c r="R260" s="44">
        <f>IF(K260="Delivered",N(O260)+N(M260)-N(N260)-N(P260)-N(Q260),IF(OR(K260="Returned",K260="Failed delivery"),-N(N260),""))</f>
        <v/>
      </c>
      <c r="S260">
        <f>IF(E260="","",IF(MATCH(E260,$E$2:E260,0)&lt;ROWS($E$2:E260),"Repeat","New"))</f>
        <v/>
      </c>
      <c r="T260" s="34" t="n"/>
    </row>
    <row r="261">
      <c r="A261" s="34" t="n"/>
      <c r="B261" s="45" t="n"/>
      <c r="C261" s="34" t="n"/>
      <c r="D261" s="34" t="n"/>
      <c r="E261" s="47" t="n"/>
      <c r="F261" s="34" t="n"/>
      <c r="G261" s="34" t="n"/>
      <c r="H261" s="34" t="n"/>
      <c r="I261" s="36" t="n"/>
      <c r="J261" s="46">
        <f>IF(G261="","",IFERROR(INDEX(Products!$B$2:$B$101,MATCH(G261,Products!$A$2:$A$101,0)),"Unknown SKU"))</f>
        <v/>
      </c>
      <c r="K261" s="34" t="n"/>
      <c r="L261" s="34" t="n"/>
      <c r="M261" s="36" t="n"/>
      <c r="N261" s="36" t="n"/>
      <c r="O261" s="44">
        <f>IF(OR(H261="",I261=""),"",H261*I261)</f>
        <v/>
      </c>
      <c r="P261" s="44">
        <f>IF(O261="","",O261*IFERROR(INDEX(Settings!$B$8:$B$15,MATCH(C261,Settings!$A$8:$A$15,0)),0))</f>
        <v/>
      </c>
      <c r="Q261" s="44">
        <f>IF(OR(G261="",H261=""),"",H261*IFERROR(INDEX(Products!$J$2:$J$101,MATCH(G261,Products!$A$2:$A$101,0)),0))</f>
        <v/>
      </c>
      <c r="R261" s="44">
        <f>IF(K261="Delivered",N(O261)+N(M261)-N(N261)-N(P261)-N(Q261),IF(OR(K261="Returned",K261="Failed delivery"),-N(N261),""))</f>
        <v/>
      </c>
      <c r="S261">
        <f>IF(E261="","",IF(MATCH(E261,$E$2:E261,0)&lt;ROWS($E$2:E261),"Repeat","New"))</f>
        <v/>
      </c>
      <c r="T261" s="34" t="n"/>
    </row>
    <row r="262">
      <c r="A262" s="34" t="n"/>
      <c r="B262" s="45" t="n"/>
      <c r="C262" s="34" t="n"/>
      <c r="D262" s="34" t="n"/>
      <c r="E262" s="47" t="n"/>
      <c r="F262" s="34" t="n"/>
      <c r="G262" s="34" t="n"/>
      <c r="H262" s="34" t="n"/>
      <c r="I262" s="36" t="n"/>
      <c r="J262" s="46">
        <f>IF(G262="","",IFERROR(INDEX(Products!$B$2:$B$101,MATCH(G262,Products!$A$2:$A$101,0)),"Unknown SKU"))</f>
        <v/>
      </c>
      <c r="K262" s="34" t="n"/>
      <c r="L262" s="34" t="n"/>
      <c r="M262" s="36" t="n"/>
      <c r="N262" s="36" t="n"/>
      <c r="O262" s="44">
        <f>IF(OR(H262="",I262=""),"",H262*I262)</f>
        <v/>
      </c>
      <c r="P262" s="44">
        <f>IF(O262="","",O262*IFERROR(INDEX(Settings!$B$8:$B$15,MATCH(C262,Settings!$A$8:$A$15,0)),0))</f>
        <v/>
      </c>
      <c r="Q262" s="44">
        <f>IF(OR(G262="",H262=""),"",H262*IFERROR(INDEX(Products!$J$2:$J$101,MATCH(G262,Products!$A$2:$A$101,0)),0))</f>
        <v/>
      </c>
      <c r="R262" s="44">
        <f>IF(K262="Delivered",N(O262)+N(M262)-N(N262)-N(P262)-N(Q262),IF(OR(K262="Returned",K262="Failed delivery"),-N(N262),""))</f>
        <v/>
      </c>
      <c r="S262">
        <f>IF(E262="","",IF(MATCH(E262,$E$2:E262,0)&lt;ROWS($E$2:E262),"Repeat","New"))</f>
        <v/>
      </c>
      <c r="T262" s="34" t="n"/>
    </row>
    <row r="263">
      <c r="A263" s="34" t="n"/>
      <c r="B263" s="45" t="n"/>
      <c r="C263" s="34" t="n"/>
      <c r="D263" s="34" t="n"/>
      <c r="E263" s="47" t="n"/>
      <c r="F263" s="34" t="n"/>
      <c r="G263" s="34" t="n"/>
      <c r="H263" s="34" t="n"/>
      <c r="I263" s="36" t="n"/>
      <c r="J263" s="46">
        <f>IF(G263="","",IFERROR(INDEX(Products!$B$2:$B$101,MATCH(G263,Products!$A$2:$A$101,0)),"Unknown SKU"))</f>
        <v/>
      </c>
      <c r="K263" s="34" t="n"/>
      <c r="L263" s="34" t="n"/>
      <c r="M263" s="36" t="n"/>
      <c r="N263" s="36" t="n"/>
      <c r="O263" s="44">
        <f>IF(OR(H263="",I263=""),"",H263*I263)</f>
        <v/>
      </c>
      <c r="P263" s="44">
        <f>IF(O263="","",O263*IFERROR(INDEX(Settings!$B$8:$B$15,MATCH(C263,Settings!$A$8:$A$15,0)),0))</f>
        <v/>
      </c>
      <c r="Q263" s="44">
        <f>IF(OR(G263="",H263=""),"",H263*IFERROR(INDEX(Products!$J$2:$J$101,MATCH(G263,Products!$A$2:$A$101,0)),0))</f>
        <v/>
      </c>
      <c r="R263" s="44">
        <f>IF(K263="Delivered",N(O263)+N(M263)-N(N263)-N(P263)-N(Q263),IF(OR(K263="Returned",K263="Failed delivery"),-N(N263),""))</f>
        <v/>
      </c>
      <c r="S263">
        <f>IF(E263="","",IF(MATCH(E263,$E$2:E263,0)&lt;ROWS($E$2:E263),"Repeat","New"))</f>
        <v/>
      </c>
      <c r="T263" s="34" t="n"/>
    </row>
    <row r="264">
      <c r="A264" s="34" t="n"/>
      <c r="B264" s="45" t="n"/>
      <c r="C264" s="34" t="n"/>
      <c r="D264" s="34" t="n"/>
      <c r="E264" s="47" t="n"/>
      <c r="F264" s="34" t="n"/>
      <c r="G264" s="34" t="n"/>
      <c r="H264" s="34" t="n"/>
      <c r="I264" s="36" t="n"/>
      <c r="J264" s="46">
        <f>IF(G264="","",IFERROR(INDEX(Products!$B$2:$B$101,MATCH(G264,Products!$A$2:$A$101,0)),"Unknown SKU"))</f>
        <v/>
      </c>
      <c r="K264" s="34" t="n"/>
      <c r="L264" s="34" t="n"/>
      <c r="M264" s="36" t="n"/>
      <c r="N264" s="36" t="n"/>
      <c r="O264" s="44">
        <f>IF(OR(H264="",I264=""),"",H264*I264)</f>
        <v/>
      </c>
      <c r="P264" s="44">
        <f>IF(O264="","",O264*IFERROR(INDEX(Settings!$B$8:$B$15,MATCH(C264,Settings!$A$8:$A$15,0)),0))</f>
        <v/>
      </c>
      <c r="Q264" s="44">
        <f>IF(OR(G264="",H264=""),"",H264*IFERROR(INDEX(Products!$J$2:$J$101,MATCH(G264,Products!$A$2:$A$101,0)),0))</f>
        <v/>
      </c>
      <c r="R264" s="44">
        <f>IF(K264="Delivered",N(O264)+N(M264)-N(N264)-N(P264)-N(Q264),IF(OR(K264="Returned",K264="Failed delivery"),-N(N264),""))</f>
        <v/>
      </c>
      <c r="S264">
        <f>IF(E264="","",IF(MATCH(E264,$E$2:E264,0)&lt;ROWS($E$2:E264),"Repeat","New"))</f>
        <v/>
      </c>
      <c r="T264" s="34" t="n"/>
    </row>
    <row r="265">
      <c r="A265" s="34" t="n"/>
      <c r="B265" s="45" t="n"/>
      <c r="C265" s="34" t="n"/>
      <c r="D265" s="34" t="n"/>
      <c r="E265" s="47" t="n"/>
      <c r="F265" s="34" t="n"/>
      <c r="G265" s="34" t="n"/>
      <c r="H265" s="34" t="n"/>
      <c r="I265" s="36" t="n"/>
      <c r="J265" s="46">
        <f>IF(G265="","",IFERROR(INDEX(Products!$B$2:$B$101,MATCH(G265,Products!$A$2:$A$101,0)),"Unknown SKU"))</f>
        <v/>
      </c>
      <c r="K265" s="34" t="n"/>
      <c r="L265" s="34" t="n"/>
      <c r="M265" s="36" t="n"/>
      <c r="N265" s="36" t="n"/>
      <c r="O265" s="44">
        <f>IF(OR(H265="",I265=""),"",H265*I265)</f>
        <v/>
      </c>
      <c r="P265" s="44">
        <f>IF(O265="","",O265*IFERROR(INDEX(Settings!$B$8:$B$15,MATCH(C265,Settings!$A$8:$A$15,0)),0))</f>
        <v/>
      </c>
      <c r="Q265" s="44">
        <f>IF(OR(G265="",H265=""),"",H265*IFERROR(INDEX(Products!$J$2:$J$101,MATCH(G265,Products!$A$2:$A$101,0)),0))</f>
        <v/>
      </c>
      <c r="R265" s="44">
        <f>IF(K265="Delivered",N(O265)+N(M265)-N(N265)-N(P265)-N(Q265),IF(OR(K265="Returned",K265="Failed delivery"),-N(N265),""))</f>
        <v/>
      </c>
      <c r="S265">
        <f>IF(E265="","",IF(MATCH(E265,$E$2:E265,0)&lt;ROWS($E$2:E265),"Repeat","New"))</f>
        <v/>
      </c>
      <c r="T265" s="34" t="n"/>
    </row>
    <row r="266">
      <c r="A266" s="34" t="n"/>
      <c r="B266" s="45" t="n"/>
      <c r="C266" s="34" t="n"/>
      <c r="D266" s="34" t="n"/>
      <c r="E266" s="47" t="n"/>
      <c r="F266" s="34" t="n"/>
      <c r="G266" s="34" t="n"/>
      <c r="H266" s="34" t="n"/>
      <c r="I266" s="36" t="n"/>
      <c r="J266" s="46">
        <f>IF(G266="","",IFERROR(INDEX(Products!$B$2:$B$101,MATCH(G266,Products!$A$2:$A$101,0)),"Unknown SKU"))</f>
        <v/>
      </c>
      <c r="K266" s="34" t="n"/>
      <c r="L266" s="34" t="n"/>
      <c r="M266" s="36" t="n"/>
      <c r="N266" s="36" t="n"/>
      <c r="O266" s="44">
        <f>IF(OR(H266="",I266=""),"",H266*I266)</f>
        <v/>
      </c>
      <c r="P266" s="44">
        <f>IF(O266="","",O266*IFERROR(INDEX(Settings!$B$8:$B$15,MATCH(C266,Settings!$A$8:$A$15,0)),0))</f>
        <v/>
      </c>
      <c r="Q266" s="44">
        <f>IF(OR(G266="",H266=""),"",H266*IFERROR(INDEX(Products!$J$2:$J$101,MATCH(G266,Products!$A$2:$A$101,0)),0))</f>
        <v/>
      </c>
      <c r="R266" s="44">
        <f>IF(K266="Delivered",N(O266)+N(M266)-N(N266)-N(P266)-N(Q266),IF(OR(K266="Returned",K266="Failed delivery"),-N(N266),""))</f>
        <v/>
      </c>
      <c r="S266">
        <f>IF(E266="","",IF(MATCH(E266,$E$2:E266,0)&lt;ROWS($E$2:E266),"Repeat","New"))</f>
        <v/>
      </c>
      <c r="T266" s="34" t="n"/>
    </row>
    <row r="267">
      <c r="A267" s="34" t="n"/>
      <c r="B267" s="45" t="n"/>
      <c r="C267" s="34" t="n"/>
      <c r="D267" s="34" t="n"/>
      <c r="E267" s="47" t="n"/>
      <c r="F267" s="34" t="n"/>
      <c r="G267" s="34" t="n"/>
      <c r="H267" s="34" t="n"/>
      <c r="I267" s="36" t="n"/>
      <c r="J267" s="46">
        <f>IF(G267="","",IFERROR(INDEX(Products!$B$2:$B$101,MATCH(G267,Products!$A$2:$A$101,0)),"Unknown SKU"))</f>
        <v/>
      </c>
      <c r="K267" s="34" t="n"/>
      <c r="L267" s="34" t="n"/>
      <c r="M267" s="36" t="n"/>
      <c r="N267" s="36" t="n"/>
      <c r="O267" s="44">
        <f>IF(OR(H267="",I267=""),"",H267*I267)</f>
        <v/>
      </c>
      <c r="P267" s="44">
        <f>IF(O267="","",O267*IFERROR(INDEX(Settings!$B$8:$B$15,MATCH(C267,Settings!$A$8:$A$15,0)),0))</f>
        <v/>
      </c>
      <c r="Q267" s="44">
        <f>IF(OR(G267="",H267=""),"",H267*IFERROR(INDEX(Products!$J$2:$J$101,MATCH(G267,Products!$A$2:$A$101,0)),0))</f>
        <v/>
      </c>
      <c r="R267" s="44">
        <f>IF(K267="Delivered",N(O267)+N(M267)-N(N267)-N(P267)-N(Q267),IF(OR(K267="Returned",K267="Failed delivery"),-N(N267),""))</f>
        <v/>
      </c>
      <c r="S267">
        <f>IF(E267="","",IF(MATCH(E267,$E$2:E267,0)&lt;ROWS($E$2:E267),"Repeat","New"))</f>
        <v/>
      </c>
      <c r="T267" s="34" t="n"/>
    </row>
    <row r="268">
      <c r="A268" s="34" t="n"/>
      <c r="B268" s="45" t="n"/>
      <c r="C268" s="34" t="n"/>
      <c r="D268" s="34" t="n"/>
      <c r="E268" s="47" t="n"/>
      <c r="F268" s="34" t="n"/>
      <c r="G268" s="34" t="n"/>
      <c r="H268" s="34" t="n"/>
      <c r="I268" s="36" t="n"/>
      <c r="J268" s="46">
        <f>IF(G268="","",IFERROR(INDEX(Products!$B$2:$B$101,MATCH(G268,Products!$A$2:$A$101,0)),"Unknown SKU"))</f>
        <v/>
      </c>
      <c r="K268" s="34" t="n"/>
      <c r="L268" s="34" t="n"/>
      <c r="M268" s="36" t="n"/>
      <c r="N268" s="36" t="n"/>
      <c r="O268" s="44">
        <f>IF(OR(H268="",I268=""),"",H268*I268)</f>
        <v/>
      </c>
      <c r="P268" s="44">
        <f>IF(O268="","",O268*IFERROR(INDEX(Settings!$B$8:$B$15,MATCH(C268,Settings!$A$8:$A$15,0)),0))</f>
        <v/>
      </c>
      <c r="Q268" s="44">
        <f>IF(OR(G268="",H268=""),"",H268*IFERROR(INDEX(Products!$J$2:$J$101,MATCH(G268,Products!$A$2:$A$101,0)),0))</f>
        <v/>
      </c>
      <c r="R268" s="44">
        <f>IF(K268="Delivered",N(O268)+N(M268)-N(N268)-N(P268)-N(Q268),IF(OR(K268="Returned",K268="Failed delivery"),-N(N268),""))</f>
        <v/>
      </c>
      <c r="S268">
        <f>IF(E268="","",IF(MATCH(E268,$E$2:E268,0)&lt;ROWS($E$2:E268),"Repeat","New"))</f>
        <v/>
      </c>
      <c r="T268" s="34" t="n"/>
    </row>
    <row r="269">
      <c r="A269" s="34" t="n"/>
      <c r="B269" s="45" t="n"/>
      <c r="C269" s="34" t="n"/>
      <c r="D269" s="34" t="n"/>
      <c r="E269" s="47" t="n"/>
      <c r="F269" s="34" t="n"/>
      <c r="G269" s="34" t="n"/>
      <c r="H269" s="34" t="n"/>
      <c r="I269" s="36" t="n"/>
      <c r="J269" s="46">
        <f>IF(G269="","",IFERROR(INDEX(Products!$B$2:$B$101,MATCH(G269,Products!$A$2:$A$101,0)),"Unknown SKU"))</f>
        <v/>
      </c>
      <c r="K269" s="34" t="n"/>
      <c r="L269" s="34" t="n"/>
      <c r="M269" s="36" t="n"/>
      <c r="N269" s="36" t="n"/>
      <c r="O269" s="44">
        <f>IF(OR(H269="",I269=""),"",H269*I269)</f>
        <v/>
      </c>
      <c r="P269" s="44">
        <f>IF(O269="","",O269*IFERROR(INDEX(Settings!$B$8:$B$15,MATCH(C269,Settings!$A$8:$A$15,0)),0))</f>
        <v/>
      </c>
      <c r="Q269" s="44">
        <f>IF(OR(G269="",H269=""),"",H269*IFERROR(INDEX(Products!$J$2:$J$101,MATCH(G269,Products!$A$2:$A$101,0)),0))</f>
        <v/>
      </c>
      <c r="R269" s="44">
        <f>IF(K269="Delivered",N(O269)+N(M269)-N(N269)-N(P269)-N(Q269),IF(OR(K269="Returned",K269="Failed delivery"),-N(N269),""))</f>
        <v/>
      </c>
      <c r="S269">
        <f>IF(E269="","",IF(MATCH(E269,$E$2:E269,0)&lt;ROWS($E$2:E269),"Repeat","New"))</f>
        <v/>
      </c>
      <c r="T269" s="34" t="n"/>
    </row>
    <row r="270">
      <c r="A270" s="34" t="n"/>
      <c r="B270" s="45" t="n"/>
      <c r="C270" s="34" t="n"/>
      <c r="D270" s="34" t="n"/>
      <c r="E270" s="47" t="n"/>
      <c r="F270" s="34" t="n"/>
      <c r="G270" s="34" t="n"/>
      <c r="H270" s="34" t="n"/>
      <c r="I270" s="36" t="n"/>
      <c r="J270" s="46">
        <f>IF(G270="","",IFERROR(INDEX(Products!$B$2:$B$101,MATCH(G270,Products!$A$2:$A$101,0)),"Unknown SKU"))</f>
        <v/>
      </c>
      <c r="K270" s="34" t="n"/>
      <c r="L270" s="34" t="n"/>
      <c r="M270" s="36" t="n"/>
      <c r="N270" s="36" t="n"/>
      <c r="O270" s="44">
        <f>IF(OR(H270="",I270=""),"",H270*I270)</f>
        <v/>
      </c>
      <c r="P270" s="44">
        <f>IF(O270="","",O270*IFERROR(INDEX(Settings!$B$8:$B$15,MATCH(C270,Settings!$A$8:$A$15,0)),0))</f>
        <v/>
      </c>
      <c r="Q270" s="44">
        <f>IF(OR(G270="",H270=""),"",H270*IFERROR(INDEX(Products!$J$2:$J$101,MATCH(G270,Products!$A$2:$A$101,0)),0))</f>
        <v/>
      </c>
      <c r="R270" s="44">
        <f>IF(K270="Delivered",N(O270)+N(M270)-N(N270)-N(P270)-N(Q270),IF(OR(K270="Returned",K270="Failed delivery"),-N(N270),""))</f>
        <v/>
      </c>
      <c r="S270">
        <f>IF(E270="","",IF(MATCH(E270,$E$2:E270,0)&lt;ROWS($E$2:E270),"Repeat","New"))</f>
        <v/>
      </c>
      <c r="T270" s="34" t="n"/>
    </row>
    <row r="271">
      <c r="A271" s="34" t="n"/>
      <c r="B271" s="45" t="n"/>
      <c r="C271" s="34" t="n"/>
      <c r="D271" s="34" t="n"/>
      <c r="E271" s="47" t="n"/>
      <c r="F271" s="34" t="n"/>
      <c r="G271" s="34" t="n"/>
      <c r="H271" s="34" t="n"/>
      <c r="I271" s="36" t="n"/>
      <c r="J271" s="46">
        <f>IF(G271="","",IFERROR(INDEX(Products!$B$2:$B$101,MATCH(G271,Products!$A$2:$A$101,0)),"Unknown SKU"))</f>
        <v/>
      </c>
      <c r="K271" s="34" t="n"/>
      <c r="L271" s="34" t="n"/>
      <c r="M271" s="36" t="n"/>
      <c r="N271" s="36" t="n"/>
      <c r="O271" s="44">
        <f>IF(OR(H271="",I271=""),"",H271*I271)</f>
        <v/>
      </c>
      <c r="P271" s="44">
        <f>IF(O271="","",O271*IFERROR(INDEX(Settings!$B$8:$B$15,MATCH(C271,Settings!$A$8:$A$15,0)),0))</f>
        <v/>
      </c>
      <c r="Q271" s="44">
        <f>IF(OR(G271="",H271=""),"",H271*IFERROR(INDEX(Products!$J$2:$J$101,MATCH(G271,Products!$A$2:$A$101,0)),0))</f>
        <v/>
      </c>
      <c r="R271" s="44">
        <f>IF(K271="Delivered",N(O271)+N(M271)-N(N271)-N(P271)-N(Q271),IF(OR(K271="Returned",K271="Failed delivery"),-N(N271),""))</f>
        <v/>
      </c>
      <c r="S271">
        <f>IF(E271="","",IF(MATCH(E271,$E$2:E271,0)&lt;ROWS($E$2:E271),"Repeat","New"))</f>
        <v/>
      </c>
      <c r="T271" s="34" t="n"/>
    </row>
    <row r="272">
      <c r="A272" s="34" t="n"/>
      <c r="B272" s="45" t="n"/>
      <c r="C272" s="34" t="n"/>
      <c r="D272" s="34" t="n"/>
      <c r="E272" s="47" t="n"/>
      <c r="F272" s="34" t="n"/>
      <c r="G272" s="34" t="n"/>
      <c r="H272" s="34" t="n"/>
      <c r="I272" s="36" t="n"/>
      <c r="J272" s="46">
        <f>IF(G272="","",IFERROR(INDEX(Products!$B$2:$B$101,MATCH(G272,Products!$A$2:$A$101,0)),"Unknown SKU"))</f>
        <v/>
      </c>
      <c r="K272" s="34" t="n"/>
      <c r="L272" s="34" t="n"/>
      <c r="M272" s="36" t="n"/>
      <c r="N272" s="36" t="n"/>
      <c r="O272" s="44">
        <f>IF(OR(H272="",I272=""),"",H272*I272)</f>
        <v/>
      </c>
      <c r="P272" s="44">
        <f>IF(O272="","",O272*IFERROR(INDEX(Settings!$B$8:$B$15,MATCH(C272,Settings!$A$8:$A$15,0)),0))</f>
        <v/>
      </c>
      <c r="Q272" s="44">
        <f>IF(OR(G272="",H272=""),"",H272*IFERROR(INDEX(Products!$J$2:$J$101,MATCH(G272,Products!$A$2:$A$101,0)),0))</f>
        <v/>
      </c>
      <c r="R272" s="44">
        <f>IF(K272="Delivered",N(O272)+N(M272)-N(N272)-N(P272)-N(Q272),IF(OR(K272="Returned",K272="Failed delivery"),-N(N272),""))</f>
        <v/>
      </c>
      <c r="S272">
        <f>IF(E272="","",IF(MATCH(E272,$E$2:E272,0)&lt;ROWS($E$2:E272),"Repeat","New"))</f>
        <v/>
      </c>
      <c r="T272" s="34" t="n"/>
    </row>
    <row r="273">
      <c r="A273" s="34" t="n"/>
      <c r="B273" s="45" t="n"/>
      <c r="C273" s="34" t="n"/>
      <c r="D273" s="34" t="n"/>
      <c r="E273" s="47" t="n"/>
      <c r="F273" s="34" t="n"/>
      <c r="G273" s="34" t="n"/>
      <c r="H273" s="34" t="n"/>
      <c r="I273" s="36" t="n"/>
      <c r="J273" s="46">
        <f>IF(G273="","",IFERROR(INDEX(Products!$B$2:$B$101,MATCH(G273,Products!$A$2:$A$101,0)),"Unknown SKU"))</f>
        <v/>
      </c>
      <c r="K273" s="34" t="n"/>
      <c r="L273" s="34" t="n"/>
      <c r="M273" s="36" t="n"/>
      <c r="N273" s="36" t="n"/>
      <c r="O273" s="44">
        <f>IF(OR(H273="",I273=""),"",H273*I273)</f>
        <v/>
      </c>
      <c r="P273" s="44">
        <f>IF(O273="","",O273*IFERROR(INDEX(Settings!$B$8:$B$15,MATCH(C273,Settings!$A$8:$A$15,0)),0))</f>
        <v/>
      </c>
      <c r="Q273" s="44">
        <f>IF(OR(G273="",H273=""),"",H273*IFERROR(INDEX(Products!$J$2:$J$101,MATCH(G273,Products!$A$2:$A$101,0)),0))</f>
        <v/>
      </c>
      <c r="R273" s="44">
        <f>IF(K273="Delivered",N(O273)+N(M273)-N(N273)-N(P273)-N(Q273),IF(OR(K273="Returned",K273="Failed delivery"),-N(N273),""))</f>
        <v/>
      </c>
      <c r="S273">
        <f>IF(E273="","",IF(MATCH(E273,$E$2:E273,0)&lt;ROWS($E$2:E273),"Repeat","New"))</f>
        <v/>
      </c>
      <c r="T273" s="34" t="n"/>
    </row>
    <row r="274">
      <c r="A274" s="34" t="n"/>
      <c r="B274" s="45" t="n"/>
      <c r="C274" s="34" t="n"/>
      <c r="D274" s="34" t="n"/>
      <c r="E274" s="47" t="n"/>
      <c r="F274" s="34" t="n"/>
      <c r="G274" s="34" t="n"/>
      <c r="H274" s="34" t="n"/>
      <c r="I274" s="36" t="n"/>
      <c r="J274" s="46">
        <f>IF(G274="","",IFERROR(INDEX(Products!$B$2:$B$101,MATCH(G274,Products!$A$2:$A$101,0)),"Unknown SKU"))</f>
        <v/>
      </c>
      <c r="K274" s="34" t="n"/>
      <c r="L274" s="34" t="n"/>
      <c r="M274" s="36" t="n"/>
      <c r="N274" s="36" t="n"/>
      <c r="O274" s="44">
        <f>IF(OR(H274="",I274=""),"",H274*I274)</f>
        <v/>
      </c>
      <c r="P274" s="44">
        <f>IF(O274="","",O274*IFERROR(INDEX(Settings!$B$8:$B$15,MATCH(C274,Settings!$A$8:$A$15,0)),0))</f>
        <v/>
      </c>
      <c r="Q274" s="44">
        <f>IF(OR(G274="",H274=""),"",H274*IFERROR(INDEX(Products!$J$2:$J$101,MATCH(G274,Products!$A$2:$A$101,0)),0))</f>
        <v/>
      </c>
      <c r="R274" s="44">
        <f>IF(K274="Delivered",N(O274)+N(M274)-N(N274)-N(P274)-N(Q274),IF(OR(K274="Returned",K274="Failed delivery"),-N(N274),""))</f>
        <v/>
      </c>
      <c r="S274">
        <f>IF(E274="","",IF(MATCH(E274,$E$2:E274,0)&lt;ROWS($E$2:E274),"Repeat","New"))</f>
        <v/>
      </c>
      <c r="T274" s="34" t="n"/>
    </row>
    <row r="275">
      <c r="A275" s="34" t="n"/>
      <c r="B275" s="45" t="n"/>
      <c r="C275" s="34" t="n"/>
      <c r="D275" s="34" t="n"/>
      <c r="E275" s="47" t="n"/>
      <c r="F275" s="34" t="n"/>
      <c r="G275" s="34" t="n"/>
      <c r="H275" s="34" t="n"/>
      <c r="I275" s="36" t="n"/>
      <c r="J275" s="46">
        <f>IF(G275="","",IFERROR(INDEX(Products!$B$2:$B$101,MATCH(G275,Products!$A$2:$A$101,0)),"Unknown SKU"))</f>
        <v/>
      </c>
      <c r="K275" s="34" t="n"/>
      <c r="L275" s="34" t="n"/>
      <c r="M275" s="36" t="n"/>
      <c r="N275" s="36" t="n"/>
      <c r="O275" s="44">
        <f>IF(OR(H275="",I275=""),"",H275*I275)</f>
        <v/>
      </c>
      <c r="P275" s="44">
        <f>IF(O275="","",O275*IFERROR(INDEX(Settings!$B$8:$B$15,MATCH(C275,Settings!$A$8:$A$15,0)),0))</f>
        <v/>
      </c>
      <c r="Q275" s="44">
        <f>IF(OR(G275="",H275=""),"",H275*IFERROR(INDEX(Products!$J$2:$J$101,MATCH(G275,Products!$A$2:$A$101,0)),0))</f>
        <v/>
      </c>
      <c r="R275" s="44">
        <f>IF(K275="Delivered",N(O275)+N(M275)-N(N275)-N(P275)-N(Q275),IF(OR(K275="Returned",K275="Failed delivery"),-N(N275),""))</f>
        <v/>
      </c>
      <c r="S275">
        <f>IF(E275="","",IF(MATCH(E275,$E$2:E275,0)&lt;ROWS($E$2:E275),"Repeat","New"))</f>
        <v/>
      </c>
      <c r="T275" s="34" t="n"/>
    </row>
    <row r="276">
      <c r="A276" s="34" t="n"/>
      <c r="B276" s="45" t="n"/>
      <c r="C276" s="34" t="n"/>
      <c r="D276" s="34" t="n"/>
      <c r="E276" s="47" t="n"/>
      <c r="F276" s="34" t="n"/>
      <c r="G276" s="34" t="n"/>
      <c r="H276" s="34" t="n"/>
      <c r="I276" s="36" t="n"/>
      <c r="J276" s="46">
        <f>IF(G276="","",IFERROR(INDEX(Products!$B$2:$B$101,MATCH(G276,Products!$A$2:$A$101,0)),"Unknown SKU"))</f>
        <v/>
      </c>
      <c r="K276" s="34" t="n"/>
      <c r="L276" s="34" t="n"/>
      <c r="M276" s="36" t="n"/>
      <c r="N276" s="36" t="n"/>
      <c r="O276" s="44">
        <f>IF(OR(H276="",I276=""),"",H276*I276)</f>
        <v/>
      </c>
      <c r="P276" s="44">
        <f>IF(O276="","",O276*IFERROR(INDEX(Settings!$B$8:$B$15,MATCH(C276,Settings!$A$8:$A$15,0)),0))</f>
        <v/>
      </c>
      <c r="Q276" s="44">
        <f>IF(OR(G276="",H276=""),"",H276*IFERROR(INDEX(Products!$J$2:$J$101,MATCH(G276,Products!$A$2:$A$101,0)),0))</f>
        <v/>
      </c>
      <c r="R276" s="44">
        <f>IF(K276="Delivered",N(O276)+N(M276)-N(N276)-N(P276)-N(Q276),IF(OR(K276="Returned",K276="Failed delivery"),-N(N276),""))</f>
        <v/>
      </c>
      <c r="S276">
        <f>IF(E276="","",IF(MATCH(E276,$E$2:E276,0)&lt;ROWS($E$2:E276),"Repeat","New"))</f>
        <v/>
      </c>
      <c r="T276" s="34" t="n"/>
    </row>
    <row r="277">
      <c r="A277" s="34" t="n"/>
      <c r="B277" s="45" t="n"/>
      <c r="C277" s="34" t="n"/>
      <c r="D277" s="34" t="n"/>
      <c r="E277" s="47" t="n"/>
      <c r="F277" s="34" t="n"/>
      <c r="G277" s="34" t="n"/>
      <c r="H277" s="34" t="n"/>
      <c r="I277" s="36" t="n"/>
      <c r="J277" s="46">
        <f>IF(G277="","",IFERROR(INDEX(Products!$B$2:$B$101,MATCH(G277,Products!$A$2:$A$101,0)),"Unknown SKU"))</f>
        <v/>
      </c>
      <c r="K277" s="34" t="n"/>
      <c r="L277" s="34" t="n"/>
      <c r="M277" s="36" t="n"/>
      <c r="N277" s="36" t="n"/>
      <c r="O277" s="44">
        <f>IF(OR(H277="",I277=""),"",H277*I277)</f>
        <v/>
      </c>
      <c r="P277" s="44">
        <f>IF(O277="","",O277*IFERROR(INDEX(Settings!$B$8:$B$15,MATCH(C277,Settings!$A$8:$A$15,0)),0))</f>
        <v/>
      </c>
      <c r="Q277" s="44">
        <f>IF(OR(G277="",H277=""),"",H277*IFERROR(INDEX(Products!$J$2:$J$101,MATCH(G277,Products!$A$2:$A$101,0)),0))</f>
        <v/>
      </c>
      <c r="R277" s="44">
        <f>IF(K277="Delivered",N(O277)+N(M277)-N(N277)-N(P277)-N(Q277),IF(OR(K277="Returned",K277="Failed delivery"),-N(N277),""))</f>
        <v/>
      </c>
      <c r="S277">
        <f>IF(E277="","",IF(MATCH(E277,$E$2:E277,0)&lt;ROWS($E$2:E277),"Repeat","New"))</f>
        <v/>
      </c>
      <c r="T277" s="34" t="n"/>
    </row>
    <row r="278">
      <c r="A278" s="34" t="n"/>
      <c r="B278" s="45" t="n"/>
      <c r="C278" s="34" t="n"/>
      <c r="D278" s="34" t="n"/>
      <c r="E278" s="47" t="n"/>
      <c r="F278" s="34" t="n"/>
      <c r="G278" s="34" t="n"/>
      <c r="H278" s="34" t="n"/>
      <c r="I278" s="36" t="n"/>
      <c r="J278" s="46">
        <f>IF(G278="","",IFERROR(INDEX(Products!$B$2:$B$101,MATCH(G278,Products!$A$2:$A$101,0)),"Unknown SKU"))</f>
        <v/>
      </c>
      <c r="K278" s="34" t="n"/>
      <c r="L278" s="34" t="n"/>
      <c r="M278" s="36" t="n"/>
      <c r="N278" s="36" t="n"/>
      <c r="O278" s="44">
        <f>IF(OR(H278="",I278=""),"",H278*I278)</f>
        <v/>
      </c>
      <c r="P278" s="44">
        <f>IF(O278="","",O278*IFERROR(INDEX(Settings!$B$8:$B$15,MATCH(C278,Settings!$A$8:$A$15,0)),0))</f>
        <v/>
      </c>
      <c r="Q278" s="44">
        <f>IF(OR(G278="",H278=""),"",H278*IFERROR(INDEX(Products!$J$2:$J$101,MATCH(G278,Products!$A$2:$A$101,0)),0))</f>
        <v/>
      </c>
      <c r="R278" s="44">
        <f>IF(K278="Delivered",N(O278)+N(M278)-N(N278)-N(P278)-N(Q278),IF(OR(K278="Returned",K278="Failed delivery"),-N(N278),""))</f>
        <v/>
      </c>
      <c r="S278">
        <f>IF(E278="","",IF(MATCH(E278,$E$2:E278,0)&lt;ROWS($E$2:E278),"Repeat","New"))</f>
        <v/>
      </c>
      <c r="T278" s="34" t="n"/>
    </row>
    <row r="279">
      <c r="A279" s="34" t="n"/>
      <c r="B279" s="45" t="n"/>
      <c r="C279" s="34" t="n"/>
      <c r="D279" s="34" t="n"/>
      <c r="E279" s="47" t="n"/>
      <c r="F279" s="34" t="n"/>
      <c r="G279" s="34" t="n"/>
      <c r="H279" s="34" t="n"/>
      <c r="I279" s="36" t="n"/>
      <c r="J279" s="46">
        <f>IF(G279="","",IFERROR(INDEX(Products!$B$2:$B$101,MATCH(G279,Products!$A$2:$A$101,0)),"Unknown SKU"))</f>
        <v/>
      </c>
      <c r="K279" s="34" t="n"/>
      <c r="L279" s="34" t="n"/>
      <c r="M279" s="36" t="n"/>
      <c r="N279" s="36" t="n"/>
      <c r="O279" s="44">
        <f>IF(OR(H279="",I279=""),"",H279*I279)</f>
        <v/>
      </c>
      <c r="P279" s="44">
        <f>IF(O279="","",O279*IFERROR(INDEX(Settings!$B$8:$B$15,MATCH(C279,Settings!$A$8:$A$15,0)),0))</f>
        <v/>
      </c>
      <c r="Q279" s="44">
        <f>IF(OR(G279="",H279=""),"",H279*IFERROR(INDEX(Products!$J$2:$J$101,MATCH(G279,Products!$A$2:$A$101,0)),0))</f>
        <v/>
      </c>
      <c r="R279" s="44">
        <f>IF(K279="Delivered",N(O279)+N(M279)-N(N279)-N(P279)-N(Q279),IF(OR(K279="Returned",K279="Failed delivery"),-N(N279),""))</f>
        <v/>
      </c>
      <c r="S279">
        <f>IF(E279="","",IF(MATCH(E279,$E$2:E279,0)&lt;ROWS($E$2:E279),"Repeat","New"))</f>
        <v/>
      </c>
      <c r="T279" s="34" t="n"/>
    </row>
    <row r="280">
      <c r="A280" s="34" t="n"/>
      <c r="B280" s="45" t="n"/>
      <c r="C280" s="34" t="n"/>
      <c r="D280" s="34" t="n"/>
      <c r="E280" s="47" t="n"/>
      <c r="F280" s="34" t="n"/>
      <c r="G280" s="34" t="n"/>
      <c r="H280" s="34" t="n"/>
      <c r="I280" s="36" t="n"/>
      <c r="J280" s="46">
        <f>IF(G280="","",IFERROR(INDEX(Products!$B$2:$B$101,MATCH(G280,Products!$A$2:$A$101,0)),"Unknown SKU"))</f>
        <v/>
      </c>
      <c r="K280" s="34" t="n"/>
      <c r="L280" s="34" t="n"/>
      <c r="M280" s="36" t="n"/>
      <c r="N280" s="36" t="n"/>
      <c r="O280" s="44">
        <f>IF(OR(H280="",I280=""),"",H280*I280)</f>
        <v/>
      </c>
      <c r="P280" s="44">
        <f>IF(O280="","",O280*IFERROR(INDEX(Settings!$B$8:$B$15,MATCH(C280,Settings!$A$8:$A$15,0)),0))</f>
        <v/>
      </c>
      <c r="Q280" s="44">
        <f>IF(OR(G280="",H280=""),"",H280*IFERROR(INDEX(Products!$J$2:$J$101,MATCH(G280,Products!$A$2:$A$101,0)),0))</f>
        <v/>
      </c>
      <c r="R280" s="44">
        <f>IF(K280="Delivered",N(O280)+N(M280)-N(N280)-N(P280)-N(Q280),IF(OR(K280="Returned",K280="Failed delivery"),-N(N280),""))</f>
        <v/>
      </c>
      <c r="S280">
        <f>IF(E280="","",IF(MATCH(E280,$E$2:E280,0)&lt;ROWS($E$2:E280),"Repeat","New"))</f>
        <v/>
      </c>
      <c r="T280" s="34" t="n"/>
    </row>
    <row r="281">
      <c r="A281" s="34" t="n"/>
      <c r="B281" s="45" t="n"/>
      <c r="C281" s="34" t="n"/>
      <c r="D281" s="34" t="n"/>
      <c r="E281" s="47" t="n"/>
      <c r="F281" s="34" t="n"/>
      <c r="G281" s="34" t="n"/>
      <c r="H281" s="34" t="n"/>
      <c r="I281" s="36" t="n"/>
      <c r="J281" s="46">
        <f>IF(G281="","",IFERROR(INDEX(Products!$B$2:$B$101,MATCH(G281,Products!$A$2:$A$101,0)),"Unknown SKU"))</f>
        <v/>
      </c>
      <c r="K281" s="34" t="n"/>
      <c r="L281" s="34" t="n"/>
      <c r="M281" s="36" t="n"/>
      <c r="N281" s="36" t="n"/>
      <c r="O281" s="44">
        <f>IF(OR(H281="",I281=""),"",H281*I281)</f>
        <v/>
      </c>
      <c r="P281" s="44">
        <f>IF(O281="","",O281*IFERROR(INDEX(Settings!$B$8:$B$15,MATCH(C281,Settings!$A$8:$A$15,0)),0))</f>
        <v/>
      </c>
      <c r="Q281" s="44">
        <f>IF(OR(G281="",H281=""),"",H281*IFERROR(INDEX(Products!$J$2:$J$101,MATCH(G281,Products!$A$2:$A$101,0)),0))</f>
        <v/>
      </c>
      <c r="R281" s="44">
        <f>IF(K281="Delivered",N(O281)+N(M281)-N(N281)-N(P281)-N(Q281),IF(OR(K281="Returned",K281="Failed delivery"),-N(N281),""))</f>
        <v/>
      </c>
      <c r="S281">
        <f>IF(E281="","",IF(MATCH(E281,$E$2:E281,0)&lt;ROWS($E$2:E281),"Repeat","New"))</f>
        <v/>
      </c>
      <c r="T281" s="34" t="n"/>
    </row>
    <row r="282">
      <c r="A282" s="34" t="n"/>
      <c r="B282" s="45" t="n"/>
      <c r="C282" s="34" t="n"/>
      <c r="D282" s="34" t="n"/>
      <c r="E282" s="47" t="n"/>
      <c r="F282" s="34" t="n"/>
      <c r="G282" s="34" t="n"/>
      <c r="H282" s="34" t="n"/>
      <c r="I282" s="36" t="n"/>
      <c r="J282" s="46">
        <f>IF(G282="","",IFERROR(INDEX(Products!$B$2:$B$101,MATCH(G282,Products!$A$2:$A$101,0)),"Unknown SKU"))</f>
        <v/>
      </c>
      <c r="K282" s="34" t="n"/>
      <c r="L282" s="34" t="n"/>
      <c r="M282" s="36" t="n"/>
      <c r="N282" s="36" t="n"/>
      <c r="O282" s="44">
        <f>IF(OR(H282="",I282=""),"",H282*I282)</f>
        <v/>
      </c>
      <c r="P282" s="44">
        <f>IF(O282="","",O282*IFERROR(INDEX(Settings!$B$8:$B$15,MATCH(C282,Settings!$A$8:$A$15,0)),0))</f>
        <v/>
      </c>
      <c r="Q282" s="44">
        <f>IF(OR(G282="",H282=""),"",H282*IFERROR(INDEX(Products!$J$2:$J$101,MATCH(G282,Products!$A$2:$A$101,0)),0))</f>
        <v/>
      </c>
      <c r="R282" s="44">
        <f>IF(K282="Delivered",N(O282)+N(M282)-N(N282)-N(P282)-N(Q282),IF(OR(K282="Returned",K282="Failed delivery"),-N(N282),""))</f>
        <v/>
      </c>
      <c r="S282">
        <f>IF(E282="","",IF(MATCH(E282,$E$2:E282,0)&lt;ROWS($E$2:E282),"Repeat","New"))</f>
        <v/>
      </c>
      <c r="T282" s="34" t="n"/>
    </row>
    <row r="283">
      <c r="A283" s="34" t="n"/>
      <c r="B283" s="45" t="n"/>
      <c r="C283" s="34" t="n"/>
      <c r="D283" s="34" t="n"/>
      <c r="E283" s="47" t="n"/>
      <c r="F283" s="34" t="n"/>
      <c r="G283" s="34" t="n"/>
      <c r="H283" s="34" t="n"/>
      <c r="I283" s="36" t="n"/>
      <c r="J283" s="46">
        <f>IF(G283="","",IFERROR(INDEX(Products!$B$2:$B$101,MATCH(G283,Products!$A$2:$A$101,0)),"Unknown SKU"))</f>
        <v/>
      </c>
      <c r="K283" s="34" t="n"/>
      <c r="L283" s="34" t="n"/>
      <c r="M283" s="36" t="n"/>
      <c r="N283" s="36" t="n"/>
      <c r="O283" s="44">
        <f>IF(OR(H283="",I283=""),"",H283*I283)</f>
        <v/>
      </c>
      <c r="P283" s="44">
        <f>IF(O283="","",O283*IFERROR(INDEX(Settings!$B$8:$B$15,MATCH(C283,Settings!$A$8:$A$15,0)),0))</f>
        <v/>
      </c>
      <c r="Q283" s="44">
        <f>IF(OR(G283="",H283=""),"",H283*IFERROR(INDEX(Products!$J$2:$J$101,MATCH(G283,Products!$A$2:$A$101,0)),0))</f>
        <v/>
      </c>
      <c r="R283" s="44">
        <f>IF(K283="Delivered",N(O283)+N(M283)-N(N283)-N(P283)-N(Q283),IF(OR(K283="Returned",K283="Failed delivery"),-N(N283),""))</f>
        <v/>
      </c>
      <c r="S283">
        <f>IF(E283="","",IF(MATCH(E283,$E$2:E283,0)&lt;ROWS($E$2:E283),"Repeat","New"))</f>
        <v/>
      </c>
      <c r="T283" s="34" t="n"/>
    </row>
    <row r="284">
      <c r="A284" s="34" t="n"/>
      <c r="B284" s="45" t="n"/>
      <c r="C284" s="34" t="n"/>
      <c r="D284" s="34" t="n"/>
      <c r="E284" s="47" t="n"/>
      <c r="F284" s="34" t="n"/>
      <c r="G284" s="34" t="n"/>
      <c r="H284" s="34" t="n"/>
      <c r="I284" s="36" t="n"/>
      <c r="J284" s="46">
        <f>IF(G284="","",IFERROR(INDEX(Products!$B$2:$B$101,MATCH(G284,Products!$A$2:$A$101,0)),"Unknown SKU"))</f>
        <v/>
      </c>
      <c r="K284" s="34" t="n"/>
      <c r="L284" s="34" t="n"/>
      <c r="M284" s="36" t="n"/>
      <c r="N284" s="36" t="n"/>
      <c r="O284" s="44">
        <f>IF(OR(H284="",I284=""),"",H284*I284)</f>
        <v/>
      </c>
      <c r="P284" s="44">
        <f>IF(O284="","",O284*IFERROR(INDEX(Settings!$B$8:$B$15,MATCH(C284,Settings!$A$8:$A$15,0)),0))</f>
        <v/>
      </c>
      <c r="Q284" s="44">
        <f>IF(OR(G284="",H284=""),"",H284*IFERROR(INDEX(Products!$J$2:$J$101,MATCH(G284,Products!$A$2:$A$101,0)),0))</f>
        <v/>
      </c>
      <c r="R284" s="44">
        <f>IF(K284="Delivered",N(O284)+N(M284)-N(N284)-N(P284)-N(Q284),IF(OR(K284="Returned",K284="Failed delivery"),-N(N284),""))</f>
        <v/>
      </c>
      <c r="S284">
        <f>IF(E284="","",IF(MATCH(E284,$E$2:E284,0)&lt;ROWS($E$2:E284),"Repeat","New"))</f>
        <v/>
      </c>
      <c r="T284" s="34" t="n"/>
    </row>
    <row r="285">
      <c r="A285" s="34" t="n"/>
      <c r="B285" s="45" t="n"/>
      <c r="C285" s="34" t="n"/>
      <c r="D285" s="34" t="n"/>
      <c r="E285" s="47" t="n"/>
      <c r="F285" s="34" t="n"/>
      <c r="G285" s="34" t="n"/>
      <c r="H285" s="34" t="n"/>
      <c r="I285" s="36" t="n"/>
      <c r="J285" s="46">
        <f>IF(G285="","",IFERROR(INDEX(Products!$B$2:$B$101,MATCH(G285,Products!$A$2:$A$101,0)),"Unknown SKU"))</f>
        <v/>
      </c>
      <c r="K285" s="34" t="n"/>
      <c r="L285" s="34" t="n"/>
      <c r="M285" s="36" t="n"/>
      <c r="N285" s="36" t="n"/>
      <c r="O285" s="44">
        <f>IF(OR(H285="",I285=""),"",H285*I285)</f>
        <v/>
      </c>
      <c r="P285" s="44">
        <f>IF(O285="","",O285*IFERROR(INDEX(Settings!$B$8:$B$15,MATCH(C285,Settings!$A$8:$A$15,0)),0))</f>
        <v/>
      </c>
      <c r="Q285" s="44">
        <f>IF(OR(G285="",H285=""),"",H285*IFERROR(INDEX(Products!$J$2:$J$101,MATCH(G285,Products!$A$2:$A$101,0)),0))</f>
        <v/>
      </c>
      <c r="R285" s="44">
        <f>IF(K285="Delivered",N(O285)+N(M285)-N(N285)-N(P285)-N(Q285),IF(OR(K285="Returned",K285="Failed delivery"),-N(N285),""))</f>
        <v/>
      </c>
      <c r="S285">
        <f>IF(E285="","",IF(MATCH(E285,$E$2:E285,0)&lt;ROWS($E$2:E285),"Repeat","New"))</f>
        <v/>
      </c>
      <c r="T285" s="34" t="n"/>
    </row>
    <row r="286">
      <c r="A286" s="34" t="n"/>
      <c r="B286" s="45" t="n"/>
      <c r="C286" s="34" t="n"/>
      <c r="D286" s="34" t="n"/>
      <c r="E286" s="47" t="n"/>
      <c r="F286" s="34" t="n"/>
      <c r="G286" s="34" t="n"/>
      <c r="H286" s="34" t="n"/>
      <c r="I286" s="36" t="n"/>
      <c r="J286" s="46">
        <f>IF(G286="","",IFERROR(INDEX(Products!$B$2:$B$101,MATCH(G286,Products!$A$2:$A$101,0)),"Unknown SKU"))</f>
        <v/>
      </c>
      <c r="K286" s="34" t="n"/>
      <c r="L286" s="34" t="n"/>
      <c r="M286" s="36" t="n"/>
      <c r="N286" s="36" t="n"/>
      <c r="O286" s="44">
        <f>IF(OR(H286="",I286=""),"",H286*I286)</f>
        <v/>
      </c>
      <c r="P286" s="44">
        <f>IF(O286="","",O286*IFERROR(INDEX(Settings!$B$8:$B$15,MATCH(C286,Settings!$A$8:$A$15,0)),0))</f>
        <v/>
      </c>
      <c r="Q286" s="44">
        <f>IF(OR(G286="",H286=""),"",H286*IFERROR(INDEX(Products!$J$2:$J$101,MATCH(G286,Products!$A$2:$A$101,0)),0))</f>
        <v/>
      </c>
      <c r="R286" s="44">
        <f>IF(K286="Delivered",N(O286)+N(M286)-N(N286)-N(P286)-N(Q286),IF(OR(K286="Returned",K286="Failed delivery"),-N(N286),""))</f>
        <v/>
      </c>
      <c r="S286">
        <f>IF(E286="","",IF(MATCH(E286,$E$2:E286,0)&lt;ROWS($E$2:E286),"Repeat","New"))</f>
        <v/>
      </c>
      <c r="T286" s="34" t="n"/>
    </row>
    <row r="287">
      <c r="A287" s="34" t="n"/>
      <c r="B287" s="45" t="n"/>
      <c r="C287" s="34" t="n"/>
      <c r="D287" s="34" t="n"/>
      <c r="E287" s="47" t="n"/>
      <c r="F287" s="34" t="n"/>
      <c r="G287" s="34" t="n"/>
      <c r="H287" s="34" t="n"/>
      <c r="I287" s="36" t="n"/>
      <c r="J287" s="46">
        <f>IF(G287="","",IFERROR(INDEX(Products!$B$2:$B$101,MATCH(G287,Products!$A$2:$A$101,0)),"Unknown SKU"))</f>
        <v/>
      </c>
      <c r="K287" s="34" t="n"/>
      <c r="L287" s="34" t="n"/>
      <c r="M287" s="36" t="n"/>
      <c r="N287" s="36" t="n"/>
      <c r="O287" s="44">
        <f>IF(OR(H287="",I287=""),"",H287*I287)</f>
        <v/>
      </c>
      <c r="P287" s="44">
        <f>IF(O287="","",O287*IFERROR(INDEX(Settings!$B$8:$B$15,MATCH(C287,Settings!$A$8:$A$15,0)),0))</f>
        <v/>
      </c>
      <c r="Q287" s="44">
        <f>IF(OR(G287="",H287=""),"",H287*IFERROR(INDEX(Products!$J$2:$J$101,MATCH(G287,Products!$A$2:$A$101,0)),0))</f>
        <v/>
      </c>
      <c r="R287" s="44">
        <f>IF(K287="Delivered",N(O287)+N(M287)-N(N287)-N(P287)-N(Q287),IF(OR(K287="Returned",K287="Failed delivery"),-N(N287),""))</f>
        <v/>
      </c>
      <c r="S287">
        <f>IF(E287="","",IF(MATCH(E287,$E$2:E287,0)&lt;ROWS($E$2:E287),"Repeat","New"))</f>
        <v/>
      </c>
      <c r="T287" s="34" t="n"/>
    </row>
    <row r="288">
      <c r="A288" s="34" t="n"/>
      <c r="B288" s="45" t="n"/>
      <c r="C288" s="34" t="n"/>
      <c r="D288" s="34" t="n"/>
      <c r="E288" s="47" t="n"/>
      <c r="F288" s="34" t="n"/>
      <c r="G288" s="34" t="n"/>
      <c r="H288" s="34" t="n"/>
      <c r="I288" s="36" t="n"/>
      <c r="J288" s="46">
        <f>IF(G288="","",IFERROR(INDEX(Products!$B$2:$B$101,MATCH(G288,Products!$A$2:$A$101,0)),"Unknown SKU"))</f>
        <v/>
      </c>
      <c r="K288" s="34" t="n"/>
      <c r="L288" s="34" t="n"/>
      <c r="M288" s="36" t="n"/>
      <c r="N288" s="36" t="n"/>
      <c r="O288" s="44">
        <f>IF(OR(H288="",I288=""),"",H288*I288)</f>
        <v/>
      </c>
      <c r="P288" s="44">
        <f>IF(O288="","",O288*IFERROR(INDEX(Settings!$B$8:$B$15,MATCH(C288,Settings!$A$8:$A$15,0)),0))</f>
        <v/>
      </c>
      <c r="Q288" s="44">
        <f>IF(OR(G288="",H288=""),"",H288*IFERROR(INDEX(Products!$J$2:$J$101,MATCH(G288,Products!$A$2:$A$101,0)),0))</f>
        <v/>
      </c>
      <c r="R288" s="44">
        <f>IF(K288="Delivered",N(O288)+N(M288)-N(N288)-N(P288)-N(Q288),IF(OR(K288="Returned",K288="Failed delivery"),-N(N288),""))</f>
        <v/>
      </c>
      <c r="S288">
        <f>IF(E288="","",IF(MATCH(E288,$E$2:E288,0)&lt;ROWS($E$2:E288),"Repeat","New"))</f>
        <v/>
      </c>
      <c r="T288" s="34" t="n"/>
    </row>
    <row r="289">
      <c r="A289" s="34" t="n"/>
      <c r="B289" s="45" t="n"/>
      <c r="C289" s="34" t="n"/>
      <c r="D289" s="34" t="n"/>
      <c r="E289" s="47" t="n"/>
      <c r="F289" s="34" t="n"/>
      <c r="G289" s="34" t="n"/>
      <c r="H289" s="34" t="n"/>
      <c r="I289" s="36" t="n"/>
      <c r="J289" s="46">
        <f>IF(G289="","",IFERROR(INDEX(Products!$B$2:$B$101,MATCH(G289,Products!$A$2:$A$101,0)),"Unknown SKU"))</f>
        <v/>
      </c>
      <c r="K289" s="34" t="n"/>
      <c r="L289" s="34" t="n"/>
      <c r="M289" s="36" t="n"/>
      <c r="N289" s="36" t="n"/>
      <c r="O289" s="44">
        <f>IF(OR(H289="",I289=""),"",H289*I289)</f>
        <v/>
      </c>
      <c r="P289" s="44">
        <f>IF(O289="","",O289*IFERROR(INDEX(Settings!$B$8:$B$15,MATCH(C289,Settings!$A$8:$A$15,0)),0))</f>
        <v/>
      </c>
      <c r="Q289" s="44">
        <f>IF(OR(G289="",H289=""),"",H289*IFERROR(INDEX(Products!$J$2:$J$101,MATCH(G289,Products!$A$2:$A$101,0)),0))</f>
        <v/>
      </c>
      <c r="R289" s="44">
        <f>IF(K289="Delivered",N(O289)+N(M289)-N(N289)-N(P289)-N(Q289),IF(OR(K289="Returned",K289="Failed delivery"),-N(N289),""))</f>
        <v/>
      </c>
      <c r="S289">
        <f>IF(E289="","",IF(MATCH(E289,$E$2:E289,0)&lt;ROWS($E$2:E289),"Repeat","New"))</f>
        <v/>
      </c>
      <c r="T289" s="34" t="n"/>
    </row>
    <row r="290">
      <c r="A290" s="34" t="n"/>
      <c r="B290" s="45" t="n"/>
      <c r="C290" s="34" t="n"/>
      <c r="D290" s="34" t="n"/>
      <c r="E290" s="47" t="n"/>
      <c r="F290" s="34" t="n"/>
      <c r="G290" s="34" t="n"/>
      <c r="H290" s="34" t="n"/>
      <c r="I290" s="36" t="n"/>
      <c r="J290" s="46">
        <f>IF(G290="","",IFERROR(INDEX(Products!$B$2:$B$101,MATCH(G290,Products!$A$2:$A$101,0)),"Unknown SKU"))</f>
        <v/>
      </c>
      <c r="K290" s="34" t="n"/>
      <c r="L290" s="34" t="n"/>
      <c r="M290" s="36" t="n"/>
      <c r="N290" s="36" t="n"/>
      <c r="O290" s="44">
        <f>IF(OR(H290="",I290=""),"",H290*I290)</f>
        <v/>
      </c>
      <c r="P290" s="44">
        <f>IF(O290="","",O290*IFERROR(INDEX(Settings!$B$8:$B$15,MATCH(C290,Settings!$A$8:$A$15,0)),0))</f>
        <v/>
      </c>
      <c r="Q290" s="44">
        <f>IF(OR(G290="",H290=""),"",H290*IFERROR(INDEX(Products!$J$2:$J$101,MATCH(G290,Products!$A$2:$A$101,0)),0))</f>
        <v/>
      </c>
      <c r="R290" s="44">
        <f>IF(K290="Delivered",N(O290)+N(M290)-N(N290)-N(P290)-N(Q290),IF(OR(K290="Returned",K290="Failed delivery"),-N(N290),""))</f>
        <v/>
      </c>
      <c r="S290">
        <f>IF(E290="","",IF(MATCH(E290,$E$2:E290,0)&lt;ROWS($E$2:E290),"Repeat","New"))</f>
        <v/>
      </c>
      <c r="T290" s="34" t="n"/>
    </row>
    <row r="291">
      <c r="A291" s="34" t="n"/>
      <c r="B291" s="45" t="n"/>
      <c r="C291" s="34" t="n"/>
      <c r="D291" s="34" t="n"/>
      <c r="E291" s="47" t="n"/>
      <c r="F291" s="34" t="n"/>
      <c r="G291" s="34" t="n"/>
      <c r="H291" s="34" t="n"/>
      <c r="I291" s="36" t="n"/>
      <c r="J291" s="46">
        <f>IF(G291="","",IFERROR(INDEX(Products!$B$2:$B$101,MATCH(G291,Products!$A$2:$A$101,0)),"Unknown SKU"))</f>
        <v/>
      </c>
      <c r="K291" s="34" t="n"/>
      <c r="L291" s="34" t="n"/>
      <c r="M291" s="36" t="n"/>
      <c r="N291" s="36" t="n"/>
      <c r="O291" s="44">
        <f>IF(OR(H291="",I291=""),"",H291*I291)</f>
        <v/>
      </c>
      <c r="P291" s="44">
        <f>IF(O291="","",O291*IFERROR(INDEX(Settings!$B$8:$B$15,MATCH(C291,Settings!$A$8:$A$15,0)),0))</f>
        <v/>
      </c>
      <c r="Q291" s="44">
        <f>IF(OR(G291="",H291=""),"",H291*IFERROR(INDEX(Products!$J$2:$J$101,MATCH(G291,Products!$A$2:$A$101,0)),0))</f>
        <v/>
      </c>
      <c r="R291" s="44">
        <f>IF(K291="Delivered",N(O291)+N(M291)-N(N291)-N(P291)-N(Q291),IF(OR(K291="Returned",K291="Failed delivery"),-N(N291),""))</f>
        <v/>
      </c>
      <c r="S291">
        <f>IF(E291="","",IF(MATCH(E291,$E$2:E291,0)&lt;ROWS($E$2:E291),"Repeat","New"))</f>
        <v/>
      </c>
      <c r="T291" s="34" t="n"/>
    </row>
    <row r="292">
      <c r="A292" s="34" t="n"/>
      <c r="B292" s="45" t="n"/>
      <c r="C292" s="34" t="n"/>
      <c r="D292" s="34" t="n"/>
      <c r="E292" s="47" t="n"/>
      <c r="F292" s="34" t="n"/>
      <c r="G292" s="34" t="n"/>
      <c r="H292" s="34" t="n"/>
      <c r="I292" s="36" t="n"/>
      <c r="J292" s="46">
        <f>IF(G292="","",IFERROR(INDEX(Products!$B$2:$B$101,MATCH(G292,Products!$A$2:$A$101,0)),"Unknown SKU"))</f>
        <v/>
      </c>
      <c r="K292" s="34" t="n"/>
      <c r="L292" s="34" t="n"/>
      <c r="M292" s="36" t="n"/>
      <c r="N292" s="36" t="n"/>
      <c r="O292" s="44">
        <f>IF(OR(H292="",I292=""),"",H292*I292)</f>
        <v/>
      </c>
      <c r="P292" s="44">
        <f>IF(O292="","",O292*IFERROR(INDEX(Settings!$B$8:$B$15,MATCH(C292,Settings!$A$8:$A$15,0)),0))</f>
        <v/>
      </c>
      <c r="Q292" s="44">
        <f>IF(OR(G292="",H292=""),"",H292*IFERROR(INDEX(Products!$J$2:$J$101,MATCH(G292,Products!$A$2:$A$101,0)),0))</f>
        <v/>
      </c>
      <c r="R292" s="44">
        <f>IF(K292="Delivered",N(O292)+N(M292)-N(N292)-N(P292)-N(Q292),IF(OR(K292="Returned",K292="Failed delivery"),-N(N292),""))</f>
        <v/>
      </c>
      <c r="S292">
        <f>IF(E292="","",IF(MATCH(E292,$E$2:E292,0)&lt;ROWS($E$2:E292),"Repeat","New"))</f>
        <v/>
      </c>
      <c r="T292" s="34" t="n"/>
    </row>
    <row r="293">
      <c r="A293" s="34" t="n"/>
      <c r="B293" s="45" t="n"/>
      <c r="C293" s="34" t="n"/>
      <c r="D293" s="34" t="n"/>
      <c r="E293" s="47" t="n"/>
      <c r="F293" s="34" t="n"/>
      <c r="G293" s="34" t="n"/>
      <c r="H293" s="34" t="n"/>
      <c r="I293" s="36" t="n"/>
      <c r="J293" s="46">
        <f>IF(G293="","",IFERROR(INDEX(Products!$B$2:$B$101,MATCH(G293,Products!$A$2:$A$101,0)),"Unknown SKU"))</f>
        <v/>
      </c>
      <c r="K293" s="34" t="n"/>
      <c r="L293" s="34" t="n"/>
      <c r="M293" s="36" t="n"/>
      <c r="N293" s="36" t="n"/>
      <c r="O293" s="44">
        <f>IF(OR(H293="",I293=""),"",H293*I293)</f>
        <v/>
      </c>
      <c r="P293" s="44">
        <f>IF(O293="","",O293*IFERROR(INDEX(Settings!$B$8:$B$15,MATCH(C293,Settings!$A$8:$A$15,0)),0))</f>
        <v/>
      </c>
      <c r="Q293" s="44">
        <f>IF(OR(G293="",H293=""),"",H293*IFERROR(INDEX(Products!$J$2:$J$101,MATCH(G293,Products!$A$2:$A$101,0)),0))</f>
        <v/>
      </c>
      <c r="R293" s="44">
        <f>IF(K293="Delivered",N(O293)+N(M293)-N(N293)-N(P293)-N(Q293),IF(OR(K293="Returned",K293="Failed delivery"),-N(N293),""))</f>
        <v/>
      </c>
      <c r="S293">
        <f>IF(E293="","",IF(MATCH(E293,$E$2:E293,0)&lt;ROWS($E$2:E293),"Repeat","New"))</f>
        <v/>
      </c>
      <c r="T293" s="34" t="n"/>
    </row>
    <row r="294">
      <c r="A294" s="34" t="n"/>
      <c r="B294" s="45" t="n"/>
      <c r="C294" s="34" t="n"/>
      <c r="D294" s="34" t="n"/>
      <c r="E294" s="47" t="n"/>
      <c r="F294" s="34" t="n"/>
      <c r="G294" s="34" t="n"/>
      <c r="H294" s="34" t="n"/>
      <c r="I294" s="36" t="n"/>
      <c r="J294" s="46">
        <f>IF(G294="","",IFERROR(INDEX(Products!$B$2:$B$101,MATCH(G294,Products!$A$2:$A$101,0)),"Unknown SKU"))</f>
        <v/>
      </c>
      <c r="K294" s="34" t="n"/>
      <c r="L294" s="34" t="n"/>
      <c r="M294" s="36" t="n"/>
      <c r="N294" s="36" t="n"/>
      <c r="O294" s="44">
        <f>IF(OR(H294="",I294=""),"",H294*I294)</f>
        <v/>
      </c>
      <c r="P294" s="44">
        <f>IF(O294="","",O294*IFERROR(INDEX(Settings!$B$8:$B$15,MATCH(C294,Settings!$A$8:$A$15,0)),0))</f>
        <v/>
      </c>
      <c r="Q294" s="44">
        <f>IF(OR(G294="",H294=""),"",H294*IFERROR(INDEX(Products!$J$2:$J$101,MATCH(G294,Products!$A$2:$A$101,0)),0))</f>
        <v/>
      </c>
      <c r="R294" s="44">
        <f>IF(K294="Delivered",N(O294)+N(M294)-N(N294)-N(P294)-N(Q294),IF(OR(K294="Returned",K294="Failed delivery"),-N(N294),""))</f>
        <v/>
      </c>
      <c r="S294">
        <f>IF(E294="","",IF(MATCH(E294,$E$2:E294,0)&lt;ROWS($E$2:E294),"Repeat","New"))</f>
        <v/>
      </c>
      <c r="T294" s="34" t="n"/>
    </row>
    <row r="295">
      <c r="A295" s="34" t="n"/>
      <c r="B295" s="45" t="n"/>
      <c r="C295" s="34" t="n"/>
      <c r="D295" s="34" t="n"/>
      <c r="E295" s="47" t="n"/>
      <c r="F295" s="34" t="n"/>
      <c r="G295" s="34" t="n"/>
      <c r="H295" s="34" t="n"/>
      <c r="I295" s="36" t="n"/>
      <c r="J295" s="46">
        <f>IF(G295="","",IFERROR(INDEX(Products!$B$2:$B$101,MATCH(G295,Products!$A$2:$A$101,0)),"Unknown SKU"))</f>
        <v/>
      </c>
      <c r="K295" s="34" t="n"/>
      <c r="L295" s="34" t="n"/>
      <c r="M295" s="36" t="n"/>
      <c r="N295" s="36" t="n"/>
      <c r="O295" s="44">
        <f>IF(OR(H295="",I295=""),"",H295*I295)</f>
        <v/>
      </c>
      <c r="P295" s="44">
        <f>IF(O295="","",O295*IFERROR(INDEX(Settings!$B$8:$B$15,MATCH(C295,Settings!$A$8:$A$15,0)),0))</f>
        <v/>
      </c>
      <c r="Q295" s="44">
        <f>IF(OR(G295="",H295=""),"",H295*IFERROR(INDEX(Products!$J$2:$J$101,MATCH(G295,Products!$A$2:$A$101,0)),0))</f>
        <v/>
      </c>
      <c r="R295" s="44">
        <f>IF(K295="Delivered",N(O295)+N(M295)-N(N295)-N(P295)-N(Q295),IF(OR(K295="Returned",K295="Failed delivery"),-N(N295),""))</f>
        <v/>
      </c>
      <c r="S295">
        <f>IF(E295="","",IF(MATCH(E295,$E$2:E295,0)&lt;ROWS($E$2:E295),"Repeat","New"))</f>
        <v/>
      </c>
      <c r="T295" s="34" t="n"/>
    </row>
    <row r="296">
      <c r="A296" s="34" t="n"/>
      <c r="B296" s="45" t="n"/>
      <c r="C296" s="34" t="n"/>
      <c r="D296" s="34" t="n"/>
      <c r="E296" s="47" t="n"/>
      <c r="F296" s="34" t="n"/>
      <c r="G296" s="34" t="n"/>
      <c r="H296" s="34" t="n"/>
      <c r="I296" s="36" t="n"/>
      <c r="J296" s="46">
        <f>IF(G296="","",IFERROR(INDEX(Products!$B$2:$B$101,MATCH(G296,Products!$A$2:$A$101,0)),"Unknown SKU"))</f>
        <v/>
      </c>
      <c r="K296" s="34" t="n"/>
      <c r="L296" s="34" t="n"/>
      <c r="M296" s="36" t="n"/>
      <c r="N296" s="36" t="n"/>
      <c r="O296" s="44">
        <f>IF(OR(H296="",I296=""),"",H296*I296)</f>
        <v/>
      </c>
      <c r="P296" s="44">
        <f>IF(O296="","",O296*IFERROR(INDEX(Settings!$B$8:$B$15,MATCH(C296,Settings!$A$8:$A$15,0)),0))</f>
        <v/>
      </c>
      <c r="Q296" s="44">
        <f>IF(OR(G296="",H296=""),"",H296*IFERROR(INDEX(Products!$J$2:$J$101,MATCH(G296,Products!$A$2:$A$101,0)),0))</f>
        <v/>
      </c>
      <c r="R296" s="44">
        <f>IF(K296="Delivered",N(O296)+N(M296)-N(N296)-N(P296)-N(Q296),IF(OR(K296="Returned",K296="Failed delivery"),-N(N296),""))</f>
        <v/>
      </c>
      <c r="S296">
        <f>IF(E296="","",IF(MATCH(E296,$E$2:E296,0)&lt;ROWS($E$2:E296),"Repeat","New"))</f>
        <v/>
      </c>
      <c r="T296" s="34" t="n"/>
    </row>
    <row r="297">
      <c r="A297" s="34" t="n"/>
      <c r="B297" s="45" t="n"/>
      <c r="C297" s="34" t="n"/>
      <c r="D297" s="34" t="n"/>
      <c r="E297" s="47" t="n"/>
      <c r="F297" s="34" t="n"/>
      <c r="G297" s="34" t="n"/>
      <c r="H297" s="34" t="n"/>
      <c r="I297" s="36" t="n"/>
      <c r="J297" s="46">
        <f>IF(G297="","",IFERROR(INDEX(Products!$B$2:$B$101,MATCH(G297,Products!$A$2:$A$101,0)),"Unknown SKU"))</f>
        <v/>
      </c>
      <c r="K297" s="34" t="n"/>
      <c r="L297" s="34" t="n"/>
      <c r="M297" s="36" t="n"/>
      <c r="N297" s="36" t="n"/>
      <c r="O297" s="44">
        <f>IF(OR(H297="",I297=""),"",H297*I297)</f>
        <v/>
      </c>
      <c r="P297" s="44">
        <f>IF(O297="","",O297*IFERROR(INDEX(Settings!$B$8:$B$15,MATCH(C297,Settings!$A$8:$A$15,0)),0))</f>
        <v/>
      </c>
      <c r="Q297" s="44">
        <f>IF(OR(G297="",H297=""),"",H297*IFERROR(INDEX(Products!$J$2:$J$101,MATCH(G297,Products!$A$2:$A$101,0)),0))</f>
        <v/>
      </c>
      <c r="R297" s="44">
        <f>IF(K297="Delivered",N(O297)+N(M297)-N(N297)-N(P297)-N(Q297),IF(OR(K297="Returned",K297="Failed delivery"),-N(N297),""))</f>
        <v/>
      </c>
      <c r="S297">
        <f>IF(E297="","",IF(MATCH(E297,$E$2:E297,0)&lt;ROWS($E$2:E297),"Repeat","New"))</f>
        <v/>
      </c>
      <c r="T297" s="34" t="n"/>
    </row>
    <row r="298">
      <c r="A298" s="34" t="n"/>
      <c r="B298" s="45" t="n"/>
      <c r="C298" s="34" t="n"/>
      <c r="D298" s="34" t="n"/>
      <c r="E298" s="47" t="n"/>
      <c r="F298" s="34" t="n"/>
      <c r="G298" s="34" t="n"/>
      <c r="H298" s="34" t="n"/>
      <c r="I298" s="36" t="n"/>
      <c r="J298" s="46">
        <f>IF(G298="","",IFERROR(INDEX(Products!$B$2:$B$101,MATCH(G298,Products!$A$2:$A$101,0)),"Unknown SKU"))</f>
        <v/>
      </c>
      <c r="K298" s="34" t="n"/>
      <c r="L298" s="34" t="n"/>
      <c r="M298" s="36" t="n"/>
      <c r="N298" s="36" t="n"/>
      <c r="O298" s="44">
        <f>IF(OR(H298="",I298=""),"",H298*I298)</f>
        <v/>
      </c>
      <c r="P298" s="44">
        <f>IF(O298="","",O298*IFERROR(INDEX(Settings!$B$8:$B$15,MATCH(C298,Settings!$A$8:$A$15,0)),0))</f>
        <v/>
      </c>
      <c r="Q298" s="44">
        <f>IF(OR(G298="",H298=""),"",H298*IFERROR(INDEX(Products!$J$2:$J$101,MATCH(G298,Products!$A$2:$A$101,0)),0))</f>
        <v/>
      </c>
      <c r="R298" s="44">
        <f>IF(K298="Delivered",N(O298)+N(M298)-N(N298)-N(P298)-N(Q298),IF(OR(K298="Returned",K298="Failed delivery"),-N(N298),""))</f>
        <v/>
      </c>
      <c r="S298">
        <f>IF(E298="","",IF(MATCH(E298,$E$2:E298,0)&lt;ROWS($E$2:E298),"Repeat","New"))</f>
        <v/>
      </c>
      <c r="T298" s="34" t="n"/>
    </row>
    <row r="299">
      <c r="A299" s="34" t="n"/>
      <c r="B299" s="45" t="n"/>
      <c r="C299" s="34" t="n"/>
      <c r="D299" s="34" t="n"/>
      <c r="E299" s="47" t="n"/>
      <c r="F299" s="34" t="n"/>
      <c r="G299" s="34" t="n"/>
      <c r="H299" s="34" t="n"/>
      <c r="I299" s="36" t="n"/>
      <c r="J299" s="46">
        <f>IF(G299="","",IFERROR(INDEX(Products!$B$2:$B$101,MATCH(G299,Products!$A$2:$A$101,0)),"Unknown SKU"))</f>
        <v/>
      </c>
      <c r="K299" s="34" t="n"/>
      <c r="L299" s="34" t="n"/>
      <c r="M299" s="36" t="n"/>
      <c r="N299" s="36" t="n"/>
      <c r="O299" s="44">
        <f>IF(OR(H299="",I299=""),"",H299*I299)</f>
        <v/>
      </c>
      <c r="P299" s="44">
        <f>IF(O299="","",O299*IFERROR(INDEX(Settings!$B$8:$B$15,MATCH(C299,Settings!$A$8:$A$15,0)),0))</f>
        <v/>
      </c>
      <c r="Q299" s="44">
        <f>IF(OR(G299="",H299=""),"",H299*IFERROR(INDEX(Products!$J$2:$J$101,MATCH(G299,Products!$A$2:$A$101,0)),0))</f>
        <v/>
      </c>
      <c r="R299" s="44">
        <f>IF(K299="Delivered",N(O299)+N(M299)-N(N299)-N(P299)-N(Q299),IF(OR(K299="Returned",K299="Failed delivery"),-N(N299),""))</f>
        <v/>
      </c>
      <c r="S299">
        <f>IF(E299="","",IF(MATCH(E299,$E$2:E299,0)&lt;ROWS($E$2:E299),"Repeat","New"))</f>
        <v/>
      </c>
      <c r="T299" s="34" t="n"/>
    </row>
    <row r="300">
      <c r="A300" s="34" t="n"/>
      <c r="B300" s="45" t="n"/>
      <c r="C300" s="34" t="n"/>
      <c r="D300" s="34" t="n"/>
      <c r="E300" s="47" t="n"/>
      <c r="F300" s="34" t="n"/>
      <c r="G300" s="34" t="n"/>
      <c r="H300" s="34" t="n"/>
      <c r="I300" s="36" t="n"/>
      <c r="J300" s="46">
        <f>IF(G300="","",IFERROR(INDEX(Products!$B$2:$B$101,MATCH(G300,Products!$A$2:$A$101,0)),"Unknown SKU"))</f>
        <v/>
      </c>
      <c r="K300" s="34" t="n"/>
      <c r="L300" s="34" t="n"/>
      <c r="M300" s="36" t="n"/>
      <c r="N300" s="36" t="n"/>
      <c r="O300" s="44">
        <f>IF(OR(H300="",I300=""),"",H300*I300)</f>
        <v/>
      </c>
      <c r="P300" s="44">
        <f>IF(O300="","",O300*IFERROR(INDEX(Settings!$B$8:$B$15,MATCH(C300,Settings!$A$8:$A$15,0)),0))</f>
        <v/>
      </c>
      <c r="Q300" s="44">
        <f>IF(OR(G300="",H300=""),"",H300*IFERROR(INDEX(Products!$J$2:$J$101,MATCH(G300,Products!$A$2:$A$101,0)),0))</f>
        <v/>
      </c>
      <c r="R300" s="44">
        <f>IF(K300="Delivered",N(O300)+N(M300)-N(N300)-N(P300)-N(Q300),IF(OR(K300="Returned",K300="Failed delivery"),-N(N300),""))</f>
        <v/>
      </c>
      <c r="S300">
        <f>IF(E300="","",IF(MATCH(E300,$E$2:E300,0)&lt;ROWS($E$2:E300),"Repeat","New"))</f>
        <v/>
      </c>
      <c r="T300" s="34" t="n"/>
    </row>
    <row r="301">
      <c r="A301" s="34" t="n"/>
      <c r="B301" s="45" t="n"/>
      <c r="C301" s="34" t="n"/>
      <c r="D301" s="34" t="n"/>
      <c r="E301" s="47" t="n"/>
      <c r="F301" s="34" t="n"/>
      <c r="G301" s="34" t="n"/>
      <c r="H301" s="34" t="n"/>
      <c r="I301" s="36" t="n"/>
      <c r="J301" s="46">
        <f>IF(G301="","",IFERROR(INDEX(Products!$B$2:$B$101,MATCH(G301,Products!$A$2:$A$101,0)),"Unknown SKU"))</f>
        <v/>
      </c>
      <c r="K301" s="34" t="n"/>
      <c r="L301" s="34" t="n"/>
      <c r="M301" s="36" t="n"/>
      <c r="N301" s="36" t="n"/>
      <c r="O301" s="44">
        <f>IF(OR(H301="",I301=""),"",H301*I301)</f>
        <v/>
      </c>
      <c r="P301" s="44">
        <f>IF(O301="","",O301*IFERROR(INDEX(Settings!$B$8:$B$15,MATCH(C301,Settings!$A$8:$A$15,0)),0))</f>
        <v/>
      </c>
      <c r="Q301" s="44">
        <f>IF(OR(G301="",H301=""),"",H301*IFERROR(INDEX(Products!$J$2:$J$101,MATCH(G301,Products!$A$2:$A$101,0)),0))</f>
        <v/>
      </c>
      <c r="R301" s="44">
        <f>IF(K301="Delivered",N(O301)+N(M301)-N(N301)-N(P301)-N(Q301),IF(OR(K301="Returned",K301="Failed delivery"),-N(N301),""))</f>
        <v/>
      </c>
      <c r="S301">
        <f>IF(E301="","",IF(MATCH(E301,$E$2:E301,0)&lt;ROWS($E$2:E301),"Repeat","New"))</f>
        <v/>
      </c>
      <c r="T301" s="34" t="n"/>
    </row>
    <row r="302">
      <c r="A302" s="34" t="n"/>
      <c r="B302" s="45" t="n"/>
      <c r="C302" s="34" t="n"/>
      <c r="D302" s="34" t="n"/>
      <c r="E302" s="47" t="n"/>
      <c r="F302" s="34" t="n"/>
      <c r="G302" s="34" t="n"/>
      <c r="H302" s="34" t="n"/>
      <c r="I302" s="36" t="n"/>
      <c r="J302" s="46">
        <f>IF(G302="","",IFERROR(INDEX(Products!$B$2:$B$101,MATCH(G302,Products!$A$2:$A$101,0)),"Unknown SKU"))</f>
        <v/>
      </c>
      <c r="K302" s="34" t="n"/>
      <c r="L302" s="34" t="n"/>
      <c r="M302" s="36" t="n"/>
      <c r="N302" s="36" t="n"/>
      <c r="O302" s="44">
        <f>IF(OR(H302="",I302=""),"",H302*I302)</f>
        <v/>
      </c>
      <c r="P302" s="44">
        <f>IF(O302="","",O302*IFERROR(INDEX(Settings!$B$8:$B$15,MATCH(C302,Settings!$A$8:$A$15,0)),0))</f>
        <v/>
      </c>
      <c r="Q302" s="44">
        <f>IF(OR(G302="",H302=""),"",H302*IFERROR(INDEX(Products!$J$2:$J$101,MATCH(G302,Products!$A$2:$A$101,0)),0))</f>
        <v/>
      </c>
      <c r="R302" s="44">
        <f>IF(K302="Delivered",N(O302)+N(M302)-N(N302)-N(P302)-N(Q302),IF(OR(K302="Returned",K302="Failed delivery"),-N(N302),""))</f>
        <v/>
      </c>
      <c r="S302">
        <f>IF(E302="","",IF(MATCH(E302,$E$2:E302,0)&lt;ROWS($E$2:E302),"Repeat","New"))</f>
        <v/>
      </c>
      <c r="T302" s="34" t="n"/>
    </row>
    <row r="303">
      <c r="A303" s="34" t="n"/>
      <c r="B303" s="45" t="n"/>
      <c r="C303" s="34" t="n"/>
      <c r="D303" s="34" t="n"/>
      <c r="E303" s="47" t="n"/>
      <c r="F303" s="34" t="n"/>
      <c r="G303" s="34" t="n"/>
      <c r="H303" s="34" t="n"/>
      <c r="I303" s="36" t="n"/>
      <c r="J303" s="46">
        <f>IF(G303="","",IFERROR(INDEX(Products!$B$2:$B$101,MATCH(G303,Products!$A$2:$A$101,0)),"Unknown SKU"))</f>
        <v/>
      </c>
      <c r="K303" s="34" t="n"/>
      <c r="L303" s="34" t="n"/>
      <c r="M303" s="36" t="n"/>
      <c r="N303" s="36" t="n"/>
      <c r="O303" s="44">
        <f>IF(OR(H303="",I303=""),"",H303*I303)</f>
        <v/>
      </c>
      <c r="P303" s="44">
        <f>IF(O303="","",O303*IFERROR(INDEX(Settings!$B$8:$B$15,MATCH(C303,Settings!$A$8:$A$15,0)),0))</f>
        <v/>
      </c>
      <c r="Q303" s="44">
        <f>IF(OR(G303="",H303=""),"",H303*IFERROR(INDEX(Products!$J$2:$J$101,MATCH(G303,Products!$A$2:$A$101,0)),0))</f>
        <v/>
      </c>
      <c r="R303" s="44">
        <f>IF(K303="Delivered",N(O303)+N(M303)-N(N303)-N(P303)-N(Q303),IF(OR(K303="Returned",K303="Failed delivery"),-N(N303),""))</f>
        <v/>
      </c>
      <c r="S303">
        <f>IF(E303="","",IF(MATCH(E303,$E$2:E303,0)&lt;ROWS($E$2:E303),"Repeat","New"))</f>
        <v/>
      </c>
      <c r="T303" s="34" t="n"/>
    </row>
    <row r="304">
      <c r="A304" s="34" t="n"/>
      <c r="B304" s="45" t="n"/>
      <c r="C304" s="34" t="n"/>
      <c r="D304" s="34" t="n"/>
      <c r="E304" s="47" t="n"/>
      <c r="F304" s="34" t="n"/>
      <c r="G304" s="34" t="n"/>
      <c r="H304" s="34" t="n"/>
      <c r="I304" s="36" t="n"/>
      <c r="J304" s="46">
        <f>IF(G304="","",IFERROR(INDEX(Products!$B$2:$B$101,MATCH(G304,Products!$A$2:$A$101,0)),"Unknown SKU"))</f>
        <v/>
      </c>
      <c r="K304" s="34" t="n"/>
      <c r="L304" s="34" t="n"/>
      <c r="M304" s="36" t="n"/>
      <c r="N304" s="36" t="n"/>
      <c r="O304" s="44">
        <f>IF(OR(H304="",I304=""),"",H304*I304)</f>
        <v/>
      </c>
      <c r="P304" s="44">
        <f>IF(O304="","",O304*IFERROR(INDEX(Settings!$B$8:$B$15,MATCH(C304,Settings!$A$8:$A$15,0)),0))</f>
        <v/>
      </c>
      <c r="Q304" s="44">
        <f>IF(OR(G304="",H304=""),"",H304*IFERROR(INDEX(Products!$J$2:$J$101,MATCH(G304,Products!$A$2:$A$101,0)),0))</f>
        <v/>
      </c>
      <c r="R304" s="44">
        <f>IF(K304="Delivered",N(O304)+N(M304)-N(N304)-N(P304)-N(Q304),IF(OR(K304="Returned",K304="Failed delivery"),-N(N304),""))</f>
        <v/>
      </c>
      <c r="S304">
        <f>IF(E304="","",IF(MATCH(E304,$E$2:E304,0)&lt;ROWS($E$2:E304),"Repeat","New"))</f>
        <v/>
      </c>
      <c r="T304" s="34" t="n"/>
    </row>
    <row r="305">
      <c r="A305" s="34" t="n"/>
      <c r="B305" s="45" t="n"/>
      <c r="C305" s="34" t="n"/>
      <c r="D305" s="34" t="n"/>
      <c r="E305" s="47" t="n"/>
      <c r="F305" s="34" t="n"/>
      <c r="G305" s="34" t="n"/>
      <c r="H305" s="34" t="n"/>
      <c r="I305" s="36" t="n"/>
      <c r="J305" s="46">
        <f>IF(G305="","",IFERROR(INDEX(Products!$B$2:$B$101,MATCH(G305,Products!$A$2:$A$101,0)),"Unknown SKU"))</f>
        <v/>
      </c>
      <c r="K305" s="34" t="n"/>
      <c r="L305" s="34" t="n"/>
      <c r="M305" s="36" t="n"/>
      <c r="N305" s="36" t="n"/>
      <c r="O305" s="44">
        <f>IF(OR(H305="",I305=""),"",H305*I305)</f>
        <v/>
      </c>
      <c r="P305" s="44">
        <f>IF(O305="","",O305*IFERROR(INDEX(Settings!$B$8:$B$15,MATCH(C305,Settings!$A$8:$A$15,0)),0))</f>
        <v/>
      </c>
      <c r="Q305" s="44">
        <f>IF(OR(G305="",H305=""),"",H305*IFERROR(INDEX(Products!$J$2:$J$101,MATCH(G305,Products!$A$2:$A$101,0)),0))</f>
        <v/>
      </c>
      <c r="R305" s="44">
        <f>IF(K305="Delivered",N(O305)+N(M305)-N(N305)-N(P305)-N(Q305),IF(OR(K305="Returned",K305="Failed delivery"),-N(N305),""))</f>
        <v/>
      </c>
      <c r="S305">
        <f>IF(E305="","",IF(MATCH(E305,$E$2:E305,0)&lt;ROWS($E$2:E305),"Repeat","New"))</f>
        <v/>
      </c>
      <c r="T305" s="34" t="n"/>
    </row>
    <row r="306">
      <c r="A306" s="34" t="n"/>
      <c r="B306" s="45" t="n"/>
      <c r="C306" s="34" t="n"/>
      <c r="D306" s="34" t="n"/>
      <c r="E306" s="47" t="n"/>
      <c r="F306" s="34" t="n"/>
      <c r="G306" s="34" t="n"/>
      <c r="H306" s="34" t="n"/>
      <c r="I306" s="36" t="n"/>
      <c r="J306" s="46">
        <f>IF(G306="","",IFERROR(INDEX(Products!$B$2:$B$101,MATCH(G306,Products!$A$2:$A$101,0)),"Unknown SKU"))</f>
        <v/>
      </c>
      <c r="K306" s="34" t="n"/>
      <c r="L306" s="34" t="n"/>
      <c r="M306" s="36" t="n"/>
      <c r="N306" s="36" t="n"/>
      <c r="O306" s="44">
        <f>IF(OR(H306="",I306=""),"",H306*I306)</f>
        <v/>
      </c>
      <c r="P306" s="44">
        <f>IF(O306="","",O306*IFERROR(INDEX(Settings!$B$8:$B$15,MATCH(C306,Settings!$A$8:$A$15,0)),0))</f>
        <v/>
      </c>
      <c r="Q306" s="44">
        <f>IF(OR(G306="",H306=""),"",H306*IFERROR(INDEX(Products!$J$2:$J$101,MATCH(G306,Products!$A$2:$A$101,0)),0))</f>
        <v/>
      </c>
      <c r="R306" s="44">
        <f>IF(K306="Delivered",N(O306)+N(M306)-N(N306)-N(P306)-N(Q306),IF(OR(K306="Returned",K306="Failed delivery"),-N(N306),""))</f>
        <v/>
      </c>
      <c r="S306">
        <f>IF(E306="","",IF(MATCH(E306,$E$2:E306,0)&lt;ROWS($E$2:E306),"Repeat","New"))</f>
        <v/>
      </c>
      <c r="T306" s="34" t="n"/>
    </row>
    <row r="307">
      <c r="A307" s="34" t="n"/>
      <c r="B307" s="45" t="n"/>
      <c r="C307" s="34" t="n"/>
      <c r="D307" s="34" t="n"/>
      <c r="E307" s="47" t="n"/>
      <c r="F307" s="34" t="n"/>
      <c r="G307" s="34" t="n"/>
      <c r="H307" s="34" t="n"/>
      <c r="I307" s="36" t="n"/>
      <c r="J307" s="46">
        <f>IF(G307="","",IFERROR(INDEX(Products!$B$2:$B$101,MATCH(G307,Products!$A$2:$A$101,0)),"Unknown SKU"))</f>
        <v/>
      </c>
      <c r="K307" s="34" t="n"/>
      <c r="L307" s="34" t="n"/>
      <c r="M307" s="36" t="n"/>
      <c r="N307" s="36" t="n"/>
      <c r="O307" s="44">
        <f>IF(OR(H307="",I307=""),"",H307*I307)</f>
        <v/>
      </c>
      <c r="P307" s="44">
        <f>IF(O307="","",O307*IFERROR(INDEX(Settings!$B$8:$B$15,MATCH(C307,Settings!$A$8:$A$15,0)),0))</f>
        <v/>
      </c>
      <c r="Q307" s="44">
        <f>IF(OR(G307="",H307=""),"",H307*IFERROR(INDEX(Products!$J$2:$J$101,MATCH(G307,Products!$A$2:$A$101,0)),0))</f>
        <v/>
      </c>
      <c r="R307" s="44">
        <f>IF(K307="Delivered",N(O307)+N(M307)-N(N307)-N(P307)-N(Q307),IF(OR(K307="Returned",K307="Failed delivery"),-N(N307),""))</f>
        <v/>
      </c>
      <c r="S307">
        <f>IF(E307="","",IF(MATCH(E307,$E$2:E307,0)&lt;ROWS($E$2:E307),"Repeat","New"))</f>
        <v/>
      </c>
      <c r="T307" s="34" t="n"/>
    </row>
    <row r="308">
      <c r="A308" s="34" t="n"/>
      <c r="B308" s="45" t="n"/>
      <c r="C308" s="34" t="n"/>
      <c r="D308" s="34" t="n"/>
      <c r="E308" s="47" t="n"/>
      <c r="F308" s="34" t="n"/>
      <c r="G308" s="34" t="n"/>
      <c r="H308" s="34" t="n"/>
      <c r="I308" s="36" t="n"/>
      <c r="J308" s="46">
        <f>IF(G308="","",IFERROR(INDEX(Products!$B$2:$B$101,MATCH(G308,Products!$A$2:$A$101,0)),"Unknown SKU"))</f>
        <v/>
      </c>
      <c r="K308" s="34" t="n"/>
      <c r="L308" s="34" t="n"/>
      <c r="M308" s="36" t="n"/>
      <c r="N308" s="36" t="n"/>
      <c r="O308" s="44">
        <f>IF(OR(H308="",I308=""),"",H308*I308)</f>
        <v/>
      </c>
      <c r="P308" s="44">
        <f>IF(O308="","",O308*IFERROR(INDEX(Settings!$B$8:$B$15,MATCH(C308,Settings!$A$8:$A$15,0)),0))</f>
        <v/>
      </c>
      <c r="Q308" s="44">
        <f>IF(OR(G308="",H308=""),"",H308*IFERROR(INDEX(Products!$J$2:$J$101,MATCH(G308,Products!$A$2:$A$101,0)),0))</f>
        <v/>
      </c>
      <c r="R308" s="44">
        <f>IF(K308="Delivered",N(O308)+N(M308)-N(N308)-N(P308)-N(Q308),IF(OR(K308="Returned",K308="Failed delivery"),-N(N308),""))</f>
        <v/>
      </c>
      <c r="S308">
        <f>IF(E308="","",IF(MATCH(E308,$E$2:E308,0)&lt;ROWS($E$2:E308),"Repeat","New"))</f>
        <v/>
      </c>
      <c r="T308" s="34" t="n"/>
    </row>
    <row r="309">
      <c r="A309" s="34" t="n"/>
      <c r="B309" s="45" t="n"/>
      <c r="C309" s="34" t="n"/>
      <c r="D309" s="34" t="n"/>
      <c r="E309" s="47" t="n"/>
      <c r="F309" s="34" t="n"/>
      <c r="G309" s="34" t="n"/>
      <c r="H309" s="34" t="n"/>
      <c r="I309" s="36" t="n"/>
      <c r="J309" s="46">
        <f>IF(G309="","",IFERROR(INDEX(Products!$B$2:$B$101,MATCH(G309,Products!$A$2:$A$101,0)),"Unknown SKU"))</f>
        <v/>
      </c>
      <c r="K309" s="34" t="n"/>
      <c r="L309" s="34" t="n"/>
      <c r="M309" s="36" t="n"/>
      <c r="N309" s="36" t="n"/>
      <c r="O309" s="44">
        <f>IF(OR(H309="",I309=""),"",H309*I309)</f>
        <v/>
      </c>
      <c r="P309" s="44">
        <f>IF(O309="","",O309*IFERROR(INDEX(Settings!$B$8:$B$15,MATCH(C309,Settings!$A$8:$A$15,0)),0))</f>
        <v/>
      </c>
      <c r="Q309" s="44">
        <f>IF(OR(G309="",H309=""),"",H309*IFERROR(INDEX(Products!$J$2:$J$101,MATCH(G309,Products!$A$2:$A$101,0)),0))</f>
        <v/>
      </c>
      <c r="R309" s="44">
        <f>IF(K309="Delivered",N(O309)+N(M309)-N(N309)-N(P309)-N(Q309),IF(OR(K309="Returned",K309="Failed delivery"),-N(N309),""))</f>
        <v/>
      </c>
      <c r="S309">
        <f>IF(E309="","",IF(MATCH(E309,$E$2:E309,0)&lt;ROWS($E$2:E309),"Repeat","New"))</f>
        <v/>
      </c>
      <c r="T309" s="34" t="n"/>
    </row>
    <row r="310">
      <c r="A310" s="34" t="n"/>
      <c r="B310" s="45" t="n"/>
      <c r="C310" s="34" t="n"/>
      <c r="D310" s="34" t="n"/>
      <c r="E310" s="47" t="n"/>
      <c r="F310" s="34" t="n"/>
      <c r="G310" s="34" t="n"/>
      <c r="H310" s="34" t="n"/>
      <c r="I310" s="36" t="n"/>
      <c r="J310" s="46">
        <f>IF(G310="","",IFERROR(INDEX(Products!$B$2:$B$101,MATCH(G310,Products!$A$2:$A$101,0)),"Unknown SKU"))</f>
        <v/>
      </c>
      <c r="K310" s="34" t="n"/>
      <c r="L310" s="34" t="n"/>
      <c r="M310" s="36" t="n"/>
      <c r="N310" s="36" t="n"/>
      <c r="O310" s="44">
        <f>IF(OR(H310="",I310=""),"",H310*I310)</f>
        <v/>
      </c>
      <c r="P310" s="44">
        <f>IF(O310="","",O310*IFERROR(INDEX(Settings!$B$8:$B$15,MATCH(C310,Settings!$A$8:$A$15,0)),0))</f>
        <v/>
      </c>
      <c r="Q310" s="44">
        <f>IF(OR(G310="",H310=""),"",H310*IFERROR(INDEX(Products!$J$2:$J$101,MATCH(G310,Products!$A$2:$A$101,0)),0))</f>
        <v/>
      </c>
      <c r="R310" s="44">
        <f>IF(K310="Delivered",N(O310)+N(M310)-N(N310)-N(P310)-N(Q310),IF(OR(K310="Returned",K310="Failed delivery"),-N(N310),""))</f>
        <v/>
      </c>
      <c r="S310">
        <f>IF(E310="","",IF(MATCH(E310,$E$2:E310,0)&lt;ROWS($E$2:E310),"Repeat","New"))</f>
        <v/>
      </c>
      <c r="T310" s="34" t="n"/>
    </row>
    <row r="311">
      <c r="A311" s="34" t="n"/>
      <c r="B311" s="45" t="n"/>
      <c r="C311" s="34" t="n"/>
      <c r="D311" s="34" t="n"/>
      <c r="E311" s="47" t="n"/>
      <c r="F311" s="34" t="n"/>
      <c r="G311" s="34" t="n"/>
      <c r="H311" s="34" t="n"/>
      <c r="I311" s="36" t="n"/>
      <c r="J311" s="46">
        <f>IF(G311="","",IFERROR(INDEX(Products!$B$2:$B$101,MATCH(G311,Products!$A$2:$A$101,0)),"Unknown SKU"))</f>
        <v/>
      </c>
      <c r="K311" s="34" t="n"/>
      <c r="L311" s="34" t="n"/>
      <c r="M311" s="36" t="n"/>
      <c r="N311" s="36" t="n"/>
      <c r="O311" s="44">
        <f>IF(OR(H311="",I311=""),"",H311*I311)</f>
        <v/>
      </c>
      <c r="P311" s="44">
        <f>IF(O311="","",O311*IFERROR(INDEX(Settings!$B$8:$B$15,MATCH(C311,Settings!$A$8:$A$15,0)),0))</f>
        <v/>
      </c>
      <c r="Q311" s="44">
        <f>IF(OR(G311="",H311=""),"",H311*IFERROR(INDEX(Products!$J$2:$J$101,MATCH(G311,Products!$A$2:$A$101,0)),0))</f>
        <v/>
      </c>
      <c r="R311" s="44">
        <f>IF(K311="Delivered",N(O311)+N(M311)-N(N311)-N(P311)-N(Q311),IF(OR(K311="Returned",K311="Failed delivery"),-N(N311),""))</f>
        <v/>
      </c>
      <c r="S311">
        <f>IF(E311="","",IF(MATCH(E311,$E$2:E311,0)&lt;ROWS($E$2:E311),"Repeat","New"))</f>
        <v/>
      </c>
      <c r="T311" s="34" t="n"/>
    </row>
    <row r="312">
      <c r="A312" s="34" t="n"/>
      <c r="B312" s="45" t="n"/>
      <c r="C312" s="34" t="n"/>
      <c r="D312" s="34" t="n"/>
      <c r="E312" s="47" t="n"/>
      <c r="F312" s="34" t="n"/>
      <c r="G312" s="34" t="n"/>
      <c r="H312" s="34" t="n"/>
      <c r="I312" s="36" t="n"/>
      <c r="J312" s="46">
        <f>IF(G312="","",IFERROR(INDEX(Products!$B$2:$B$101,MATCH(G312,Products!$A$2:$A$101,0)),"Unknown SKU"))</f>
        <v/>
      </c>
      <c r="K312" s="34" t="n"/>
      <c r="L312" s="34" t="n"/>
      <c r="M312" s="36" t="n"/>
      <c r="N312" s="36" t="n"/>
      <c r="O312" s="44">
        <f>IF(OR(H312="",I312=""),"",H312*I312)</f>
        <v/>
      </c>
      <c r="P312" s="44">
        <f>IF(O312="","",O312*IFERROR(INDEX(Settings!$B$8:$B$15,MATCH(C312,Settings!$A$8:$A$15,0)),0))</f>
        <v/>
      </c>
      <c r="Q312" s="44">
        <f>IF(OR(G312="",H312=""),"",H312*IFERROR(INDEX(Products!$J$2:$J$101,MATCH(G312,Products!$A$2:$A$101,0)),0))</f>
        <v/>
      </c>
      <c r="R312" s="44">
        <f>IF(K312="Delivered",N(O312)+N(M312)-N(N312)-N(P312)-N(Q312),IF(OR(K312="Returned",K312="Failed delivery"),-N(N312),""))</f>
        <v/>
      </c>
      <c r="S312">
        <f>IF(E312="","",IF(MATCH(E312,$E$2:E312,0)&lt;ROWS($E$2:E312),"Repeat","New"))</f>
        <v/>
      </c>
      <c r="T312" s="34" t="n"/>
    </row>
    <row r="313">
      <c r="A313" s="34" t="n"/>
      <c r="B313" s="45" t="n"/>
      <c r="C313" s="34" t="n"/>
      <c r="D313" s="34" t="n"/>
      <c r="E313" s="47" t="n"/>
      <c r="F313" s="34" t="n"/>
      <c r="G313" s="34" t="n"/>
      <c r="H313" s="34" t="n"/>
      <c r="I313" s="36" t="n"/>
      <c r="J313" s="46">
        <f>IF(G313="","",IFERROR(INDEX(Products!$B$2:$B$101,MATCH(G313,Products!$A$2:$A$101,0)),"Unknown SKU"))</f>
        <v/>
      </c>
      <c r="K313" s="34" t="n"/>
      <c r="L313" s="34" t="n"/>
      <c r="M313" s="36" t="n"/>
      <c r="N313" s="36" t="n"/>
      <c r="O313" s="44">
        <f>IF(OR(H313="",I313=""),"",H313*I313)</f>
        <v/>
      </c>
      <c r="P313" s="44">
        <f>IF(O313="","",O313*IFERROR(INDEX(Settings!$B$8:$B$15,MATCH(C313,Settings!$A$8:$A$15,0)),0))</f>
        <v/>
      </c>
      <c r="Q313" s="44">
        <f>IF(OR(G313="",H313=""),"",H313*IFERROR(INDEX(Products!$J$2:$J$101,MATCH(G313,Products!$A$2:$A$101,0)),0))</f>
        <v/>
      </c>
      <c r="R313" s="44">
        <f>IF(K313="Delivered",N(O313)+N(M313)-N(N313)-N(P313)-N(Q313),IF(OR(K313="Returned",K313="Failed delivery"),-N(N313),""))</f>
        <v/>
      </c>
      <c r="S313">
        <f>IF(E313="","",IF(MATCH(E313,$E$2:E313,0)&lt;ROWS($E$2:E313),"Repeat","New"))</f>
        <v/>
      </c>
      <c r="T313" s="34" t="n"/>
    </row>
    <row r="314">
      <c r="A314" s="34" t="n"/>
      <c r="B314" s="45" t="n"/>
      <c r="C314" s="34" t="n"/>
      <c r="D314" s="34" t="n"/>
      <c r="E314" s="47" t="n"/>
      <c r="F314" s="34" t="n"/>
      <c r="G314" s="34" t="n"/>
      <c r="H314" s="34" t="n"/>
      <c r="I314" s="36" t="n"/>
      <c r="J314" s="46">
        <f>IF(G314="","",IFERROR(INDEX(Products!$B$2:$B$101,MATCH(G314,Products!$A$2:$A$101,0)),"Unknown SKU"))</f>
        <v/>
      </c>
      <c r="K314" s="34" t="n"/>
      <c r="L314" s="34" t="n"/>
      <c r="M314" s="36" t="n"/>
      <c r="N314" s="36" t="n"/>
      <c r="O314" s="44">
        <f>IF(OR(H314="",I314=""),"",H314*I314)</f>
        <v/>
      </c>
      <c r="P314" s="44">
        <f>IF(O314="","",O314*IFERROR(INDEX(Settings!$B$8:$B$15,MATCH(C314,Settings!$A$8:$A$15,0)),0))</f>
        <v/>
      </c>
      <c r="Q314" s="44">
        <f>IF(OR(G314="",H314=""),"",H314*IFERROR(INDEX(Products!$J$2:$J$101,MATCH(G314,Products!$A$2:$A$101,0)),0))</f>
        <v/>
      </c>
      <c r="R314" s="44">
        <f>IF(K314="Delivered",N(O314)+N(M314)-N(N314)-N(P314)-N(Q314),IF(OR(K314="Returned",K314="Failed delivery"),-N(N314),""))</f>
        <v/>
      </c>
      <c r="S314">
        <f>IF(E314="","",IF(MATCH(E314,$E$2:E314,0)&lt;ROWS($E$2:E314),"Repeat","New"))</f>
        <v/>
      </c>
      <c r="T314" s="34" t="n"/>
    </row>
    <row r="315">
      <c r="A315" s="34" t="n"/>
      <c r="B315" s="45" t="n"/>
      <c r="C315" s="34" t="n"/>
      <c r="D315" s="34" t="n"/>
      <c r="E315" s="47" t="n"/>
      <c r="F315" s="34" t="n"/>
      <c r="G315" s="34" t="n"/>
      <c r="H315" s="34" t="n"/>
      <c r="I315" s="36" t="n"/>
      <c r="J315" s="46">
        <f>IF(G315="","",IFERROR(INDEX(Products!$B$2:$B$101,MATCH(G315,Products!$A$2:$A$101,0)),"Unknown SKU"))</f>
        <v/>
      </c>
      <c r="K315" s="34" t="n"/>
      <c r="L315" s="34" t="n"/>
      <c r="M315" s="36" t="n"/>
      <c r="N315" s="36" t="n"/>
      <c r="O315" s="44">
        <f>IF(OR(H315="",I315=""),"",H315*I315)</f>
        <v/>
      </c>
      <c r="P315" s="44">
        <f>IF(O315="","",O315*IFERROR(INDEX(Settings!$B$8:$B$15,MATCH(C315,Settings!$A$8:$A$15,0)),0))</f>
        <v/>
      </c>
      <c r="Q315" s="44">
        <f>IF(OR(G315="",H315=""),"",H315*IFERROR(INDEX(Products!$J$2:$J$101,MATCH(G315,Products!$A$2:$A$101,0)),0))</f>
        <v/>
      </c>
      <c r="R315" s="44">
        <f>IF(K315="Delivered",N(O315)+N(M315)-N(N315)-N(P315)-N(Q315),IF(OR(K315="Returned",K315="Failed delivery"),-N(N315),""))</f>
        <v/>
      </c>
      <c r="S315">
        <f>IF(E315="","",IF(MATCH(E315,$E$2:E315,0)&lt;ROWS($E$2:E315),"Repeat","New"))</f>
        <v/>
      </c>
      <c r="T315" s="34" t="n"/>
    </row>
    <row r="316">
      <c r="A316" s="34" t="n"/>
      <c r="B316" s="45" t="n"/>
      <c r="C316" s="34" t="n"/>
      <c r="D316" s="34" t="n"/>
      <c r="E316" s="47" t="n"/>
      <c r="F316" s="34" t="n"/>
      <c r="G316" s="34" t="n"/>
      <c r="H316" s="34" t="n"/>
      <c r="I316" s="36" t="n"/>
      <c r="J316" s="46">
        <f>IF(G316="","",IFERROR(INDEX(Products!$B$2:$B$101,MATCH(G316,Products!$A$2:$A$101,0)),"Unknown SKU"))</f>
        <v/>
      </c>
      <c r="K316" s="34" t="n"/>
      <c r="L316" s="34" t="n"/>
      <c r="M316" s="36" t="n"/>
      <c r="N316" s="36" t="n"/>
      <c r="O316" s="44">
        <f>IF(OR(H316="",I316=""),"",H316*I316)</f>
        <v/>
      </c>
      <c r="P316" s="44">
        <f>IF(O316="","",O316*IFERROR(INDEX(Settings!$B$8:$B$15,MATCH(C316,Settings!$A$8:$A$15,0)),0))</f>
        <v/>
      </c>
      <c r="Q316" s="44">
        <f>IF(OR(G316="",H316=""),"",H316*IFERROR(INDEX(Products!$J$2:$J$101,MATCH(G316,Products!$A$2:$A$101,0)),0))</f>
        <v/>
      </c>
      <c r="R316" s="44">
        <f>IF(K316="Delivered",N(O316)+N(M316)-N(N316)-N(P316)-N(Q316),IF(OR(K316="Returned",K316="Failed delivery"),-N(N316),""))</f>
        <v/>
      </c>
      <c r="S316">
        <f>IF(E316="","",IF(MATCH(E316,$E$2:E316,0)&lt;ROWS($E$2:E316),"Repeat","New"))</f>
        <v/>
      </c>
      <c r="T316" s="34" t="n"/>
    </row>
    <row r="317">
      <c r="A317" s="34" t="n"/>
      <c r="B317" s="45" t="n"/>
      <c r="C317" s="34" t="n"/>
      <c r="D317" s="34" t="n"/>
      <c r="E317" s="47" t="n"/>
      <c r="F317" s="34" t="n"/>
      <c r="G317" s="34" t="n"/>
      <c r="H317" s="34" t="n"/>
      <c r="I317" s="36" t="n"/>
      <c r="J317" s="46">
        <f>IF(G317="","",IFERROR(INDEX(Products!$B$2:$B$101,MATCH(G317,Products!$A$2:$A$101,0)),"Unknown SKU"))</f>
        <v/>
      </c>
      <c r="K317" s="34" t="n"/>
      <c r="L317" s="34" t="n"/>
      <c r="M317" s="36" t="n"/>
      <c r="N317" s="36" t="n"/>
      <c r="O317" s="44">
        <f>IF(OR(H317="",I317=""),"",H317*I317)</f>
        <v/>
      </c>
      <c r="P317" s="44">
        <f>IF(O317="","",O317*IFERROR(INDEX(Settings!$B$8:$B$15,MATCH(C317,Settings!$A$8:$A$15,0)),0))</f>
        <v/>
      </c>
      <c r="Q317" s="44">
        <f>IF(OR(G317="",H317=""),"",H317*IFERROR(INDEX(Products!$J$2:$J$101,MATCH(G317,Products!$A$2:$A$101,0)),0))</f>
        <v/>
      </c>
      <c r="R317" s="44">
        <f>IF(K317="Delivered",N(O317)+N(M317)-N(N317)-N(P317)-N(Q317),IF(OR(K317="Returned",K317="Failed delivery"),-N(N317),""))</f>
        <v/>
      </c>
      <c r="S317">
        <f>IF(E317="","",IF(MATCH(E317,$E$2:E317,0)&lt;ROWS($E$2:E317),"Repeat","New"))</f>
        <v/>
      </c>
      <c r="T317" s="34" t="n"/>
    </row>
    <row r="318">
      <c r="A318" s="34" t="n"/>
      <c r="B318" s="45" t="n"/>
      <c r="C318" s="34" t="n"/>
      <c r="D318" s="34" t="n"/>
      <c r="E318" s="47" t="n"/>
      <c r="F318" s="34" t="n"/>
      <c r="G318" s="34" t="n"/>
      <c r="H318" s="34" t="n"/>
      <c r="I318" s="36" t="n"/>
      <c r="J318" s="46">
        <f>IF(G318="","",IFERROR(INDEX(Products!$B$2:$B$101,MATCH(G318,Products!$A$2:$A$101,0)),"Unknown SKU"))</f>
        <v/>
      </c>
      <c r="K318" s="34" t="n"/>
      <c r="L318" s="34" t="n"/>
      <c r="M318" s="36" t="n"/>
      <c r="N318" s="36" t="n"/>
      <c r="O318" s="44">
        <f>IF(OR(H318="",I318=""),"",H318*I318)</f>
        <v/>
      </c>
      <c r="P318" s="44">
        <f>IF(O318="","",O318*IFERROR(INDEX(Settings!$B$8:$B$15,MATCH(C318,Settings!$A$8:$A$15,0)),0))</f>
        <v/>
      </c>
      <c r="Q318" s="44">
        <f>IF(OR(G318="",H318=""),"",H318*IFERROR(INDEX(Products!$J$2:$J$101,MATCH(G318,Products!$A$2:$A$101,0)),0))</f>
        <v/>
      </c>
      <c r="R318" s="44">
        <f>IF(K318="Delivered",N(O318)+N(M318)-N(N318)-N(P318)-N(Q318),IF(OR(K318="Returned",K318="Failed delivery"),-N(N318),""))</f>
        <v/>
      </c>
      <c r="S318">
        <f>IF(E318="","",IF(MATCH(E318,$E$2:E318,0)&lt;ROWS($E$2:E318),"Repeat","New"))</f>
        <v/>
      </c>
      <c r="T318" s="34" t="n"/>
    </row>
    <row r="319">
      <c r="A319" s="34" t="n"/>
      <c r="B319" s="45" t="n"/>
      <c r="C319" s="34" t="n"/>
      <c r="D319" s="34" t="n"/>
      <c r="E319" s="47" t="n"/>
      <c r="F319" s="34" t="n"/>
      <c r="G319" s="34" t="n"/>
      <c r="H319" s="34" t="n"/>
      <c r="I319" s="36" t="n"/>
      <c r="J319" s="46">
        <f>IF(G319="","",IFERROR(INDEX(Products!$B$2:$B$101,MATCH(G319,Products!$A$2:$A$101,0)),"Unknown SKU"))</f>
        <v/>
      </c>
      <c r="K319" s="34" t="n"/>
      <c r="L319" s="34" t="n"/>
      <c r="M319" s="36" t="n"/>
      <c r="N319" s="36" t="n"/>
      <c r="O319" s="44">
        <f>IF(OR(H319="",I319=""),"",H319*I319)</f>
        <v/>
      </c>
      <c r="P319" s="44">
        <f>IF(O319="","",O319*IFERROR(INDEX(Settings!$B$8:$B$15,MATCH(C319,Settings!$A$8:$A$15,0)),0))</f>
        <v/>
      </c>
      <c r="Q319" s="44">
        <f>IF(OR(G319="",H319=""),"",H319*IFERROR(INDEX(Products!$J$2:$J$101,MATCH(G319,Products!$A$2:$A$101,0)),0))</f>
        <v/>
      </c>
      <c r="R319" s="44">
        <f>IF(K319="Delivered",N(O319)+N(M319)-N(N319)-N(P319)-N(Q319),IF(OR(K319="Returned",K319="Failed delivery"),-N(N319),""))</f>
        <v/>
      </c>
      <c r="S319">
        <f>IF(E319="","",IF(MATCH(E319,$E$2:E319,0)&lt;ROWS($E$2:E319),"Repeat","New"))</f>
        <v/>
      </c>
      <c r="T319" s="34" t="n"/>
    </row>
    <row r="320">
      <c r="A320" s="34" t="n"/>
      <c r="B320" s="45" t="n"/>
      <c r="C320" s="34" t="n"/>
      <c r="D320" s="34" t="n"/>
      <c r="E320" s="47" t="n"/>
      <c r="F320" s="34" t="n"/>
      <c r="G320" s="34" t="n"/>
      <c r="H320" s="34" t="n"/>
      <c r="I320" s="36" t="n"/>
      <c r="J320" s="46">
        <f>IF(G320="","",IFERROR(INDEX(Products!$B$2:$B$101,MATCH(G320,Products!$A$2:$A$101,0)),"Unknown SKU"))</f>
        <v/>
      </c>
      <c r="K320" s="34" t="n"/>
      <c r="L320" s="34" t="n"/>
      <c r="M320" s="36" t="n"/>
      <c r="N320" s="36" t="n"/>
      <c r="O320" s="44">
        <f>IF(OR(H320="",I320=""),"",H320*I320)</f>
        <v/>
      </c>
      <c r="P320" s="44">
        <f>IF(O320="","",O320*IFERROR(INDEX(Settings!$B$8:$B$15,MATCH(C320,Settings!$A$8:$A$15,0)),0))</f>
        <v/>
      </c>
      <c r="Q320" s="44">
        <f>IF(OR(G320="",H320=""),"",H320*IFERROR(INDEX(Products!$J$2:$J$101,MATCH(G320,Products!$A$2:$A$101,0)),0))</f>
        <v/>
      </c>
      <c r="R320" s="44">
        <f>IF(K320="Delivered",N(O320)+N(M320)-N(N320)-N(P320)-N(Q320),IF(OR(K320="Returned",K320="Failed delivery"),-N(N320),""))</f>
        <v/>
      </c>
      <c r="S320">
        <f>IF(E320="","",IF(MATCH(E320,$E$2:E320,0)&lt;ROWS($E$2:E320),"Repeat","New"))</f>
        <v/>
      </c>
      <c r="T320" s="34" t="n"/>
    </row>
    <row r="321">
      <c r="A321" s="34" t="n"/>
      <c r="B321" s="45" t="n"/>
      <c r="C321" s="34" t="n"/>
      <c r="D321" s="34" t="n"/>
      <c r="E321" s="47" t="n"/>
      <c r="F321" s="34" t="n"/>
      <c r="G321" s="34" t="n"/>
      <c r="H321" s="34" t="n"/>
      <c r="I321" s="36" t="n"/>
      <c r="J321" s="46">
        <f>IF(G321="","",IFERROR(INDEX(Products!$B$2:$B$101,MATCH(G321,Products!$A$2:$A$101,0)),"Unknown SKU"))</f>
        <v/>
      </c>
      <c r="K321" s="34" t="n"/>
      <c r="L321" s="34" t="n"/>
      <c r="M321" s="36" t="n"/>
      <c r="N321" s="36" t="n"/>
      <c r="O321" s="44">
        <f>IF(OR(H321="",I321=""),"",H321*I321)</f>
        <v/>
      </c>
      <c r="P321" s="44">
        <f>IF(O321="","",O321*IFERROR(INDEX(Settings!$B$8:$B$15,MATCH(C321,Settings!$A$8:$A$15,0)),0))</f>
        <v/>
      </c>
      <c r="Q321" s="44">
        <f>IF(OR(G321="",H321=""),"",H321*IFERROR(INDEX(Products!$J$2:$J$101,MATCH(G321,Products!$A$2:$A$101,0)),0))</f>
        <v/>
      </c>
      <c r="R321" s="44">
        <f>IF(K321="Delivered",N(O321)+N(M321)-N(N321)-N(P321)-N(Q321),IF(OR(K321="Returned",K321="Failed delivery"),-N(N321),""))</f>
        <v/>
      </c>
      <c r="S321">
        <f>IF(E321="","",IF(MATCH(E321,$E$2:E321,0)&lt;ROWS($E$2:E321),"Repeat","New"))</f>
        <v/>
      </c>
      <c r="T321" s="34" t="n"/>
    </row>
    <row r="322">
      <c r="A322" s="34" t="n"/>
      <c r="B322" s="45" t="n"/>
      <c r="C322" s="34" t="n"/>
      <c r="D322" s="34" t="n"/>
      <c r="E322" s="47" t="n"/>
      <c r="F322" s="34" t="n"/>
      <c r="G322" s="34" t="n"/>
      <c r="H322" s="34" t="n"/>
      <c r="I322" s="36" t="n"/>
      <c r="J322" s="46">
        <f>IF(G322="","",IFERROR(INDEX(Products!$B$2:$B$101,MATCH(G322,Products!$A$2:$A$101,0)),"Unknown SKU"))</f>
        <v/>
      </c>
      <c r="K322" s="34" t="n"/>
      <c r="L322" s="34" t="n"/>
      <c r="M322" s="36" t="n"/>
      <c r="N322" s="36" t="n"/>
      <c r="O322" s="44">
        <f>IF(OR(H322="",I322=""),"",H322*I322)</f>
        <v/>
      </c>
      <c r="P322" s="44">
        <f>IF(O322="","",O322*IFERROR(INDEX(Settings!$B$8:$B$15,MATCH(C322,Settings!$A$8:$A$15,0)),0))</f>
        <v/>
      </c>
      <c r="Q322" s="44">
        <f>IF(OR(G322="",H322=""),"",H322*IFERROR(INDEX(Products!$J$2:$J$101,MATCH(G322,Products!$A$2:$A$101,0)),0))</f>
        <v/>
      </c>
      <c r="R322" s="44">
        <f>IF(K322="Delivered",N(O322)+N(M322)-N(N322)-N(P322)-N(Q322),IF(OR(K322="Returned",K322="Failed delivery"),-N(N322),""))</f>
        <v/>
      </c>
      <c r="S322">
        <f>IF(E322="","",IF(MATCH(E322,$E$2:E322,0)&lt;ROWS($E$2:E322),"Repeat","New"))</f>
        <v/>
      </c>
      <c r="T322" s="34" t="n"/>
    </row>
    <row r="323">
      <c r="A323" s="34" t="n"/>
      <c r="B323" s="45" t="n"/>
      <c r="C323" s="34" t="n"/>
      <c r="D323" s="34" t="n"/>
      <c r="E323" s="47" t="n"/>
      <c r="F323" s="34" t="n"/>
      <c r="G323" s="34" t="n"/>
      <c r="H323" s="34" t="n"/>
      <c r="I323" s="36" t="n"/>
      <c r="J323" s="46">
        <f>IF(G323="","",IFERROR(INDEX(Products!$B$2:$B$101,MATCH(G323,Products!$A$2:$A$101,0)),"Unknown SKU"))</f>
        <v/>
      </c>
      <c r="K323" s="34" t="n"/>
      <c r="L323" s="34" t="n"/>
      <c r="M323" s="36" t="n"/>
      <c r="N323" s="36" t="n"/>
      <c r="O323" s="44">
        <f>IF(OR(H323="",I323=""),"",H323*I323)</f>
        <v/>
      </c>
      <c r="P323" s="44">
        <f>IF(O323="","",O323*IFERROR(INDEX(Settings!$B$8:$B$15,MATCH(C323,Settings!$A$8:$A$15,0)),0))</f>
        <v/>
      </c>
      <c r="Q323" s="44">
        <f>IF(OR(G323="",H323=""),"",H323*IFERROR(INDEX(Products!$J$2:$J$101,MATCH(G323,Products!$A$2:$A$101,0)),0))</f>
        <v/>
      </c>
      <c r="R323" s="44">
        <f>IF(K323="Delivered",N(O323)+N(M323)-N(N323)-N(P323)-N(Q323),IF(OR(K323="Returned",K323="Failed delivery"),-N(N323),""))</f>
        <v/>
      </c>
      <c r="S323">
        <f>IF(E323="","",IF(MATCH(E323,$E$2:E323,0)&lt;ROWS($E$2:E323),"Repeat","New"))</f>
        <v/>
      </c>
      <c r="T323" s="34" t="n"/>
    </row>
    <row r="324">
      <c r="A324" s="34" t="n"/>
      <c r="B324" s="45" t="n"/>
      <c r="C324" s="34" t="n"/>
      <c r="D324" s="34" t="n"/>
      <c r="E324" s="47" t="n"/>
      <c r="F324" s="34" t="n"/>
      <c r="G324" s="34" t="n"/>
      <c r="H324" s="34" t="n"/>
      <c r="I324" s="36" t="n"/>
      <c r="J324" s="46">
        <f>IF(G324="","",IFERROR(INDEX(Products!$B$2:$B$101,MATCH(G324,Products!$A$2:$A$101,0)),"Unknown SKU"))</f>
        <v/>
      </c>
      <c r="K324" s="34" t="n"/>
      <c r="L324" s="34" t="n"/>
      <c r="M324" s="36" t="n"/>
      <c r="N324" s="36" t="n"/>
      <c r="O324" s="44">
        <f>IF(OR(H324="",I324=""),"",H324*I324)</f>
        <v/>
      </c>
      <c r="P324" s="44">
        <f>IF(O324="","",O324*IFERROR(INDEX(Settings!$B$8:$B$15,MATCH(C324,Settings!$A$8:$A$15,0)),0))</f>
        <v/>
      </c>
      <c r="Q324" s="44">
        <f>IF(OR(G324="",H324=""),"",H324*IFERROR(INDEX(Products!$J$2:$J$101,MATCH(G324,Products!$A$2:$A$101,0)),0))</f>
        <v/>
      </c>
      <c r="R324" s="44">
        <f>IF(K324="Delivered",N(O324)+N(M324)-N(N324)-N(P324)-N(Q324),IF(OR(K324="Returned",K324="Failed delivery"),-N(N324),""))</f>
        <v/>
      </c>
      <c r="S324">
        <f>IF(E324="","",IF(MATCH(E324,$E$2:E324,0)&lt;ROWS($E$2:E324),"Repeat","New"))</f>
        <v/>
      </c>
      <c r="T324" s="34" t="n"/>
    </row>
    <row r="325">
      <c r="A325" s="34" t="n"/>
      <c r="B325" s="45" t="n"/>
      <c r="C325" s="34" t="n"/>
      <c r="D325" s="34" t="n"/>
      <c r="E325" s="47" t="n"/>
      <c r="F325" s="34" t="n"/>
      <c r="G325" s="34" t="n"/>
      <c r="H325" s="34" t="n"/>
      <c r="I325" s="36" t="n"/>
      <c r="J325" s="46">
        <f>IF(G325="","",IFERROR(INDEX(Products!$B$2:$B$101,MATCH(G325,Products!$A$2:$A$101,0)),"Unknown SKU"))</f>
        <v/>
      </c>
      <c r="K325" s="34" t="n"/>
      <c r="L325" s="34" t="n"/>
      <c r="M325" s="36" t="n"/>
      <c r="N325" s="36" t="n"/>
      <c r="O325" s="44">
        <f>IF(OR(H325="",I325=""),"",H325*I325)</f>
        <v/>
      </c>
      <c r="P325" s="44">
        <f>IF(O325="","",O325*IFERROR(INDEX(Settings!$B$8:$B$15,MATCH(C325,Settings!$A$8:$A$15,0)),0))</f>
        <v/>
      </c>
      <c r="Q325" s="44">
        <f>IF(OR(G325="",H325=""),"",H325*IFERROR(INDEX(Products!$J$2:$J$101,MATCH(G325,Products!$A$2:$A$101,0)),0))</f>
        <v/>
      </c>
      <c r="R325" s="44">
        <f>IF(K325="Delivered",N(O325)+N(M325)-N(N325)-N(P325)-N(Q325),IF(OR(K325="Returned",K325="Failed delivery"),-N(N325),""))</f>
        <v/>
      </c>
      <c r="S325">
        <f>IF(E325="","",IF(MATCH(E325,$E$2:E325,0)&lt;ROWS($E$2:E325),"Repeat","New"))</f>
        <v/>
      </c>
      <c r="T325" s="34" t="n"/>
    </row>
    <row r="326">
      <c r="A326" s="34" t="n"/>
      <c r="B326" s="45" t="n"/>
      <c r="C326" s="34" t="n"/>
      <c r="D326" s="34" t="n"/>
      <c r="E326" s="47" t="n"/>
      <c r="F326" s="34" t="n"/>
      <c r="G326" s="34" t="n"/>
      <c r="H326" s="34" t="n"/>
      <c r="I326" s="36" t="n"/>
      <c r="J326" s="46">
        <f>IF(G326="","",IFERROR(INDEX(Products!$B$2:$B$101,MATCH(G326,Products!$A$2:$A$101,0)),"Unknown SKU"))</f>
        <v/>
      </c>
      <c r="K326" s="34" t="n"/>
      <c r="L326" s="34" t="n"/>
      <c r="M326" s="36" t="n"/>
      <c r="N326" s="36" t="n"/>
      <c r="O326" s="44">
        <f>IF(OR(H326="",I326=""),"",H326*I326)</f>
        <v/>
      </c>
      <c r="P326" s="44">
        <f>IF(O326="","",O326*IFERROR(INDEX(Settings!$B$8:$B$15,MATCH(C326,Settings!$A$8:$A$15,0)),0))</f>
        <v/>
      </c>
      <c r="Q326" s="44">
        <f>IF(OR(G326="",H326=""),"",H326*IFERROR(INDEX(Products!$J$2:$J$101,MATCH(G326,Products!$A$2:$A$101,0)),0))</f>
        <v/>
      </c>
      <c r="R326" s="44">
        <f>IF(K326="Delivered",N(O326)+N(M326)-N(N326)-N(P326)-N(Q326),IF(OR(K326="Returned",K326="Failed delivery"),-N(N326),""))</f>
        <v/>
      </c>
      <c r="S326">
        <f>IF(E326="","",IF(MATCH(E326,$E$2:E326,0)&lt;ROWS($E$2:E326),"Repeat","New"))</f>
        <v/>
      </c>
      <c r="T326" s="34" t="n"/>
    </row>
    <row r="327">
      <c r="A327" s="34" t="n"/>
      <c r="B327" s="45" t="n"/>
      <c r="C327" s="34" t="n"/>
      <c r="D327" s="34" t="n"/>
      <c r="E327" s="47" t="n"/>
      <c r="F327" s="34" t="n"/>
      <c r="G327" s="34" t="n"/>
      <c r="H327" s="34" t="n"/>
      <c r="I327" s="36" t="n"/>
      <c r="J327" s="46">
        <f>IF(G327="","",IFERROR(INDEX(Products!$B$2:$B$101,MATCH(G327,Products!$A$2:$A$101,0)),"Unknown SKU"))</f>
        <v/>
      </c>
      <c r="K327" s="34" t="n"/>
      <c r="L327" s="34" t="n"/>
      <c r="M327" s="36" t="n"/>
      <c r="N327" s="36" t="n"/>
      <c r="O327" s="44">
        <f>IF(OR(H327="",I327=""),"",H327*I327)</f>
        <v/>
      </c>
      <c r="P327" s="44">
        <f>IF(O327="","",O327*IFERROR(INDEX(Settings!$B$8:$B$15,MATCH(C327,Settings!$A$8:$A$15,0)),0))</f>
        <v/>
      </c>
      <c r="Q327" s="44">
        <f>IF(OR(G327="",H327=""),"",H327*IFERROR(INDEX(Products!$J$2:$J$101,MATCH(G327,Products!$A$2:$A$101,0)),0))</f>
        <v/>
      </c>
      <c r="R327" s="44">
        <f>IF(K327="Delivered",N(O327)+N(M327)-N(N327)-N(P327)-N(Q327),IF(OR(K327="Returned",K327="Failed delivery"),-N(N327),""))</f>
        <v/>
      </c>
      <c r="S327">
        <f>IF(E327="","",IF(MATCH(E327,$E$2:E327,0)&lt;ROWS($E$2:E327),"Repeat","New"))</f>
        <v/>
      </c>
      <c r="T327" s="34" t="n"/>
    </row>
    <row r="328">
      <c r="A328" s="34" t="n"/>
      <c r="B328" s="45" t="n"/>
      <c r="C328" s="34" t="n"/>
      <c r="D328" s="34" t="n"/>
      <c r="E328" s="47" t="n"/>
      <c r="F328" s="34" t="n"/>
      <c r="G328" s="34" t="n"/>
      <c r="H328" s="34" t="n"/>
      <c r="I328" s="36" t="n"/>
      <c r="J328" s="46">
        <f>IF(G328="","",IFERROR(INDEX(Products!$B$2:$B$101,MATCH(G328,Products!$A$2:$A$101,0)),"Unknown SKU"))</f>
        <v/>
      </c>
      <c r="K328" s="34" t="n"/>
      <c r="L328" s="34" t="n"/>
      <c r="M328" s="36" t="n"/>
      <c r="N328" s="36" t="n"/>
      <c r="O328" s="44">
        <f>IF(OR(H328="",I328=""),"",H328*I328)</f>
        <v/>
      </c>
      <c r="P328" s="44">
        <f>IF(O328="","",O328*IFERROR(INDEX(Settings!$B$8:$B$15,MATCH(C328,Settings!$A$8:$A$15,0)),0))</f>
        <v/>
      </c>
      <c r="Q328" s="44">
        <f>IF(OR(G328="",H328=""),"",H328*IFERROR(INDEX(Products!$J$2:$J$101,MATCH(G328,Products!$A$2:$A$101,0)),0))</f>
        <v/>
      </c>
      <c r="R328" s="44">
        <f>IF(K328="Delivered",N(O328)+N(M328)-N(N328)-N(P328)-N(Q328),IF(OR(K328="Returned",K328="Failed delivery"),-N(N328),""))</f>
        <v/>
      </c>
      <c r="S328">
        <f>IF(E328="","",IF(MATCH(E328,$E$2:E328,0)&lt;ROWS($E$2:E328),"Repeat","New"))</f>
        <v/>
      </c>
      <c r="T328" s="34" t="n"/>
    </row>
    <row r="329">
      <c r="A329" s="34" t="n"/>
      <c r="B329" s="45" t="n"/>
      <c r="C329" s="34" t="n"/>
      <c r="D329" s="34" t="n"/>
      <c r="E329" s="47" t="n"/>
      <c r="F329" s="34" t="n"/>
      <c r="G329" s="34" t="n"/>
      <c r="H329" s="34" t="n"/>
      <c r="I329" s="36" t="n"/>
      <c r="J329" s="46">
        <f>IF(G329="","",IFERROR(INDEX(Products!$B$2:$B$101,MATCH(G329,Products!$A$2:$A$101,0)),"Unknown SKU"))</f>
        <v/>
      </c>
      <c r="K329" s="34" t="n"/>
      <c r="L329" s="34" t="n"/>
      <c r="M329" s="36" t="n"/>
      <c r="N329" s="36" t="n"/>
      <c r="O329" s="44">
        <f>IF(OR(H329="",I329=""),"",H329*I329)</f>
        <v/>
      </c>
      <c r="P329" s="44">
        <f>IF(O329="","",O329*IFERROR(INDEX(Settings!$B$8:$B$15,MATCH(C329,Settings!$A$8:$A$15,0)),0))</f>
        <v/>
      </c>
      <c r="Q329" s="44">
        <f>IF(OR(G329="",H329=""),"",H329*IFERROR(INDEX(Products!$J$2:$J$101,MATCH(G329,Products!$A$2:$A$101,0)),0))</f>
        <v/>
      </c>
      <c r="R329" s="44">
        <f>IF(K329="Delivered",N(O329)+N(M329)-N(N329)-N(P329)-N(Q329),IF(OR(K329="Returned",K329="Failed delivery"),-N(N329),""))</f>
        <v/>
      </c>
      <c r="S329">
        <f>IF(E329="","",IF(MATCH(E329,$E$2:E329,0)&lt;ROWS($E$2:E329),"Repeat","New"))</f>
        <v/>
      </c>
      <c r="T329" s="34" t="n"/>
    </row>
    <row r="330">
      <c r="A330" s="34" t="n"/>
      <c r="B330" s="45" t="n"/>
      <c r="C330" s="34" t="n"/>
      <c r="D330" s="34" t="n"/>
      <c r="E330" s="47" t="n"/>
      <c r="F330" s="34" t="n"/>
      <c r="G330" s="34" t="n"/>
      <c r="H330" s="34" t="n"/>
      <c r="I330" s="36" t="n"/>
      <c r="J330" s="46">
        <f>IF(G330="","",IFERROR(INDEX(Products!$B$2:$B$101,MATCH(G330,Products!$A$2:$A$101,0)),"Unknown SKU"))</f>
        <v/>
      </c>
      <c r="K330" s="34" t="n"/>
      <c r="L330" s="34" t="n"/>
      <c r="M330" s="36" t="n"/>
      <c r="N330" s="36" t="n"/>
      <c r="O330" s="44">
        <f>IF(OR(H330="",I330=""),"",H330*I330)</f>
        <v/>
      </c>
      <c r="P330" s="44">
        <f>IF(O330="","",O330*IFERROR(INDEX(Settings!$B$8:$B$15,MATCH(C330,Settings!$A$8:$A$15,0)),0))</f>
        <v/>
      </c>
      <c r="Q330" s="44">
        <f>IF(OR(G330="",H330=""),"",H330*IFERROR(INDEX(Products!$J$2:$J$101,MATCH(G330,Products!$A$2:$A$101,0)),0))</f>
        <v/>
      </c>
      <c r="R330" s="44">
        <f>IF(K330="Delivered",N(O330)+N(M330)-N(N330)-N(P330)-N(Q330),IF(OR(K330="Returned",K330="Failed delivery"),-N(N330),""))</f>
        <v/>
      </c>
      <c r="S330">
        <f>IF(E330="","",IF(MATCH(E330,$E$2:E330,0)&lt;ROWS($E$2:E330),"Repeat","New"))</f>
        <v/>
      </c>
      <c r="T330" s="34" t="n"/>
    </row>
    <row r="331">
      <c r="A331" s="34" t="n"/>
      <c r="B331" s="45" t="n"/>
      <c r="C331" s="34" t="n"/>
      <c r="D331" s="34" t="n"/>
      <c r="E331" s="47" t="n"/>
      <c r="F331" s="34" t="n"/>
      <c r="G331" s="34" t="n"/>
      <c r="H331" s="34" t="n"/>
      <c r="I331" s="36" t="n"/>
      <c r="J331" s="46">
        <f>IF(G331="","",IFERROR(INDEX(Products!$B$2:$B$101,MATCH(G331,Products!$A$2:$A$101,0)),"Unknown SKU"))</f>
        <v/>
      </c>
      <c r="K331" s="34" t="n"/>
      <c r="L331" s="34" t="n"/>
      <c r="M331" s="36" t="n"/>
      <c r="N331" s="36" t="n"/>
      <c r="O331" s="44">
        <f>IF(OR(H331="",I331=""),"",H331*I331)</f>
        <v/>
      </c>
      <c r="P331" s="44">
        <f>IF(O331="","",O331*IFERROR(INDEX(Settings!$B$8:$B$15,MATCH(C331,Settings!$A$8:$A$15,0)),0))</f>
        <v/>
      </c>
      <c r="Q331" s="44">
        <f>IF(OR(G331="",H331=""),"",H331*IFERROR(INDEX(Products!$J$2:$J$101,MATCH(G331,Products!$A$2:$A$101,0)),0))</f>
        <v/>
      </c>
      <c r="R331" s="44">
        <f>IF(K331="Delivered",N(O331)+N(M331)-N(N331)-N(P331)-N(Q331),IF(OR(K331="Returned",K331="Failed delivery"),-N(N331),""))</f>
        <v/>
      </c>
      <c r="S331">
        <f>IF(E331="","",IF(MATCH(E331,$E$2:E331,0)&lt;ROWS($E$2:E331),"Repeat","New"))</f>
        <v/>
      </c>
      <c r="T331" s="34" t="n"/>
    </row>
    <row r="332">
      <c r="A332" s="34" t="n"/>
      <c r="B332" s="45" t="n"/>
      <c r="C332" s="34" t="n"/>
      <c r="D332" s="34" t="n"/>
      <c r="E332" s="47" t="n"/>
      <c r="F332" s="34" t="n"/>
      <c r="G332" s="34" t="n"/>
      <c r="H332" s="34" t="n"/>
      <c r="I332" s="36" t="n"/>
      <c r="J332" s="46">
        <f>IF(G332="","",IFERROR(INDEX(Products!$B$2:$B$101,MATCH(G332,Products!$A$2:$A$101,0)),"Unknown SKU"))</f>
        <v/>
      </c>
      <c r="K332" s="34" t="n"/>
      <c r="L332" s="34" t="n"/>
      <c r="M332" s="36" t="n"/>
      <c r="N332" s="36" t="n"/>
      <c r="O332" s="44">
        <f>IF(OR(H332="",I332=""),"",H332*I332)</f>
        <v/>
      </c>
      <c r="P332" s="44">
        <f>IF(O332="","",O332*IFERROR(INDEX(Settings!$B$8:$B$15,MATCH(C332,Settings!$A$8:$A$15,0)),0))</f>
        <v/>
      </c>
      <c r="Q332" s="44">
        <f>IF(OR(G332="",H332=""),"",H332*IFERROR(INDEX(Products!$J$2:$J$101,MATCH(G332,Products!$A$2:$A$101,0)),0))</f>
        <v/>
      </c>
      <c r="R332" s="44">
        <f>IF(K332="Delivered",N(O332)+N(M332)-N(N332)-N(P332)-N(Q332),IF(OR(K332="Returned",K332="Failed delivery"),-N(N332),""))</f>
        <v/>
      </c>
      <c r="S332">
        <f>IF(E332="","",IF(MATCH(E332,$E$2:E332,0)&lt;ROWS($E$2:E332),"Repeat","New"))</f>
        <v/>
      </c>
      <c r="T332" s="34" t="n"/>
    </row>
    <row r="333">
      <c r="A333" s="34" t="n"/>
      <c r="B333" s="45" t="n"/>
      <c r="C333" s="34" t="n"/>
      <c r="D333" s="34" t="n"/>
      <c r="E333" s="47" t="n"/>
      <c r="F333" s="34" t="n"/>
      <c r="G333" s="34" t="n"/>
      <c r="H333" s="34" t="n"/>
      <c r="I333" s="36" t="n"/>
      <c r="J333" s="46">
        <f>IF(G333="","",IFERROR(INDEX(Products!$B$2:$B$101,MATCH(G333,Products!$A$2:$A$101,0)),"Unknown SKU"))</f>
        <v/>
      </c>
      <c r="K333" s="34" t="n"/>
      <c r="L333" s="34" t="n"/>
      <c r="M333" s="36" t="n"/>
      <c r="N333" s="36" t="n"/>
      <c r="O333" s="44">
        <f>IF(OR(H333="",I333=""),"",H333*I333)</f>
        <v/>
      </c>
      <c r="P333" s="44">
        <f>IF(O333="","",O333*IFERROR(INDEX(Settings!$B$8:$B$15,MATCH(C333,Settings!$A$8:$A$15,0)),0))</f>
        <v/>
      </c>
      <c r="Q333" s="44">
        <f>IF(OR(G333="",H333=""),"",H333*IFERROR(INDEX(Products!$J$2:$J$101,MATCH(G333,Products!$A$2:$A$101,0)),0))</f>
        <v/>
      </c>
      <c r="R333" s="44">
        <f>IF(K333="Delivered",N(O333)+N(M333)-N(N333)-N(P333)-N(Q333),IF(OR(K333="Returned",K333="Failed delivery"),-N(N333),""))</f>
        <v/>
      </c>
      <c r="S333">
        <f>IF(E333="","",IF(MATCH(E333,$E$2:E333,0)&lt;ROWS($E$2:E333),"Repeat","New"))</f>
        <v/>
      </c>
      <c r="T333" s="34" t="n"/>
    </row>
    <row r="334">
      <c r="A334" s="34" t="n"/>
      <c r="B334" s="45" t="n"/>
      <c r="C334" s="34" t="n"/>
      <c r="D334" s="34" t="n"/>
      <c r="E334" s="47" t="n"/>
      <c r="F334" s="34" t="n"/>
      <c r="G334" s="34" t="n"/>
      <c r="H334" s="34" t="n"/>
      <c r="I334" s="36" t="n"/>
      <c r="J334" s="46">
        <f>IF(G334="","",IFERROR(INDEX(Products!$B$2:$B$101,MATCH(G334,Products!$A$2:$A$101,0)),"Unknown SKU"))</f>
        <v/>
      </c>
      <c r="K334" s="34" t="n"/>
      <c r="L334" s="34" t="n"/>
      <c r="M334" s="36" t="n"/>
      <c r="N334" s="36" t="n"/>
      <c r="O334" s="44">
        <f>IF(OR(H334="",I334=""),"",H334*I334)</f>
        <v/>
      </c>
      <c r="P334" s="44">
        <f>IF(O334="","",O334*IFERROR(INDEX(Settings!$B$8:$B$15,MATCH(C334,Settings!$A$8:$A$15,0)),0))</f>
        <v/>
      </c>
      <c r="Q334" s="44">
        <f>IF(OR(G334="",H334=""),"",H334*IFERROR(INDEX(Products!$J$2:$J$101,MATCH(G334,Products!$A$2:$A$101,0)),0))</f>
        <v/>
      </c>
      <c r="R334" s="44">
        <f>IF(K334="Delivered",N(O334)+N(M334)-N(N334)-N(P334)-N(Q334),IF(OR(K334="Returned",K334="Failed delivery"),-N(N334),""))</f>
        <v/>
      </c>
      <c r="S334">
        <f>IF(E334="","",IF(MATCH(E334,$E$2:E334,0)&lt;ROWS($E$2:E334),"Repeat","New"))</f>
        <v/>
      </c>
      <c r="T334" s="34" t="n"/>
    </row>
    <row r="335">
      <c r="A335" s="34" t="n"/>
      <c r="B335" s="45" t="n"/>
      <c r="C335" s="34" t="n"/>
      <c r="D335" s="34" t="n"/>
      <c r="E335" s="47" t="n"/>
      <c r="F335" s="34" t="n"/>
      <c r="G335" s="34" t="n"/>
      <c r="H335" s="34" t="n"/>
      <c r="I335" s="36" t="n"/>
      <c r="J335" s="46">
        <f>IF(G335="","",IFERROR(INDEX(Products!$B$2:$B$101,MATCH(G335,Products!$A$2:$A$101,0)),"Unknown SKU"))</f>
        <v/>
      </c>
      <c r="K335" s="34" t="n"/>
      <c r="L335" s="34" t="n"/>
      <c r="M335" s="36" t="n"/>
      <c r="N335" s="36" t="n"/>
      <c r="O335" s="44">
        <f>IF(OR(H335="",I335=""),"",H335*I335)</f>
        <v/>
      </c>
      <c r="P335" s="44">
        <f>IF(O335="","",O335*IFERROR(INDEX(Settings!$B$8:$B$15,MATCH(C335,Settings!$A$8:$A$15,0)),0))</f>
        <v/>
      </c>
      <c r="Q335" s="44">
        <f>IF(OR(G335="",H335=""),"",H335*IFERROR(INDEX(Products!$J$2:$J$101,MATCH(G335,Products!$A$2:$A$101,0)),0))</f>
        <v/>
      </c>
      <c r="R335" s="44">
        <f>IF(K335="Delivered",N(O335)+N(M335)-N(N335)-N(P335)-N(Q335),IF(OR(K335="Returned",K335="Failed delivery"),-N(N335),""))</f>
        <v/>
      </c>
      <c r="S335">
        <f>IF(E335="","",IF(MATCH(E335,$E$2:E335,0)&lt;ROWS($E$2:E335),"Repeat","New"))</f>
        <v/>
      </c>
      <c r="T335" s="34" t="n"/>
    </row>
    <row r="336">
      <c r="A336" s="34" t="n"/>
      <c r="B336" s="45" t="n"/>
      <c r="C336" s="34" t="n"/>
      <c r="D336" s="34" t="n"/>
      <c r="E336" s="47" t="n"/>
      <c r="F336" s="34" t="n"/>
      <c r="G336" s="34" t="n"/>
      <c r="H336" s="34" t="n"/>
      <c r="I336" s="36" t="n"/>
      <c r="J336" s="46">
        <f>IF(G336="","",IFERROR(INDEX(Products!$B$2:$B$101,MATCH(G336,Products!$A$2:$A$101,0)),"Unknown SKU"))</f>
        <v/>
      </c>
      <c r="K336" s="34" t="n"/>
      <c r="L336" s="34" t="n"/>
      <c r="M336" s="36" t="n"/>
      <c r="N336" s="36" t="n"/>
      <c r="O336" s="44">
        <f>IF(OR(H336="",I336=""),"",H336*I336)</f>
        <v/>
      </c>
      <c r="P336" s="44">
        <f>IF(O336="","",O336*IFERROR(INDEX(Settings!$B$8:$B$15,MATCH(C336,Settings!$A$8:$A$15,0)),0))</f>
        <v/>
      </c>
      <c r="Q336" s="44">
        <f>IF(OR(G336="",H336=""),"",H336*IFERROR(INDEX(Products!$J$2:$J$101,MATCH(G336,Products!$A$2:$A$101,0)),0))</f>
        <v/>
      </c>
      <c r="R336" s="44">
        <f>IF(K336="Delivered",N(O336)+N(M336)-N(N336)-N(P336)-N(Q336),IF(OR(K336="Returned",K336="Failed delivery"),-N(N336),""))</f>
        <v/>
      </c>
      <c r="S336">
        <f>IF(E336="","",IF(MATCH(E336,$E$2:E336,0)&lt;ROWS($E$2:E336),"Repeat","New"))</f>
        <v/>
      </c>
      <c r="T336" s="34" t="n"/>
    </row>
    <row r="337">
      <c r="A337" s="34" t="n"/>
      <c r="B337" s="45" t="n"/>
      <c r="C337" s="34" t="n"/>
      <c r="D337" s="34" t="n"/>
      <c r="E337" s="47" t="n"/>
      <c r="F337" s="34" t="n"/>
      <c r="G337" s="34" t="n"/>
      <c r="H337" s="34" t="n"/>
      <c r="I337" s="36" t="n"/>
      <c r="J337" s="46">
        <f>IF(G337="","",IFERROR(INDEX(Products!$B$2:$B$101,MATCH(G337,Products!$A$2:$A$101,0)),"Unknown SKU"))</f>
        <v/>
      </c>
      <c r="K337" s="34" t="n"/>
      <c r="L337" s="34" t="n"/>
      <c r="M337" s="36" t="n"/>
      <c r="N337" s="36" t="n"/>
      <c r="O337" s="44">
        <f>IF(OR(H337="",I337=""),"",H337*I337)</f>
        <v/>
      </c>
      <c r="P337" s="44">
        <f>IF(O337="","",O337*IFERROR(INDEX(Settings!$B$8:$B$15,MATCH(C337,Settings!$A$8:$A$15,0)),0))</f>
        <v/>
      </c>
      <c r="Q337" s="44">
        <f>IF(OR(G337="",H337=""),"",H337*IFERROR(INDEX(Products!$J$2:$J$101,MATCH(G337,Products!$A$2:$A$101,0)),0))</f>
        <v/>
      </c>
      <c r="R337" s="44">
        <f>IF(K337="Delivered",N(O337)+N(M337)-N(N337)-N(P337)-N(Q337),IF(OR(K337="Returned",K337="Failed delivery"),-N(N337),""))</f>
        <v/>
      </c>
      <c r="S337">
        <f>IF(E337="","",IF(MATCH(E337,$E$2:E337,0)&lt;ROWS($E$2:E337),"Repeat","New"))</f>
        <v/>
      </c>
      <c r="T337" s="34" t="n"/>
    </row>
    <row r="338">
      <c r="A338" s="34" t="n"/>
      <c r="B338" s="45" t="n"/>
      <c r="C338" s="34" t="n"/>
      <c r="D338" s="34" t="n"/>
      <c r="E338" s="47" t="n"/>
      <c r="F338" s="34" t="n"/>
      <c r="G338" s="34" t="n"/>
      <c r="H338" s="34" t="n"/>
      <c r="I338" s="36" t="n"/>
      <c r="J338" s="46">
        <f>IF(G338="","",IFERROR(INDEX(Products!$B$2:$B$101,MATCH(G338,Products!$A$2:$A$101,0)),"Unknown SKU"))</f>
        <v/>
      </c>
      <c r="K338" s="34" t="n"/>
      <c r="L338" s="34" t="n"/>
      <c r="M338" s="36" t="n"/>
      <c r="N338" s="36" t="n"/>
      <c r="O338" s="44">
        <f>IF(OR(H338="",I338=""),"",H338*I338)</f>
        <v/>
      </c>
      <c r="P338" s="44">
        <f>IF(O338="","",O338*IFERROR(INDEX(Settings!$B$8:$B$15,MATCH(C338,Settings!$A$8:$A$15,0)),0))</f>
        <v/>
      </c>
      <c r="Q338" s="44">
        <f>IF(OR(G338="",H338=""),"",H338*IFERROR(INDEX(Products!$J$2:$J$101,MATCH(G338,Products!$A$2:$A$101,0)),0))</f>
        <v/>
      </c>
      <c r="R338" s="44">
        <f>IF(K338="Delivered",N(O338)+N(M338)-N(N338)-N(P338)-N(Q338),IF(OR(K338="Returned",K338="Failed delivery"),-N(N338),""))</f>
        <v/>
      </c>
      <c r="S338">
        <f>IF(E338="","",IF(MATCH(E338,$E$2:E338,0)&lt;ROWS($E$2:E338),"Repeat","New"))</f>
        <v/>
      </c>
      <c r="T338" s="34" t="n"/>
    </row>
    <row r="339">
      <c r="A339" s="34" t="n"/>
      <c r="B339" s="45" t="n"/>
      <c r="C339" s="34" t="n"/>
      <c r="D339" s="34" t="n"/>
      <c r="E339" s="47" t="n"/>
      <c r="F339" s="34" t="n"/>
      <c r="G339" s="34" t="n"/>
      <c r="H339" s="34" t="n"/>
      <c r="I339" s="36" t="n"/>
      <c r="J339" s="46">
        <f>IF(G339="","",IFERROR(INDEX(Products!$B$2:$B$101,MATCH(G339,Products!$A$2:$A$101,0)),"Unknown SKU"))</f>
        <v/>
      </c>
      <c r="K339" s="34" t="n"/>
      <c r="L339" s="34" t="n"/>
      <c r="M339" s="36" t="n"/>
      <c r="N339" s="36" t="n"/>
      <c r="O339" s="44">
        <f>IF(OR(H339="",I339=""),"",H339*I339)</f>
        <v/>
      </c>
      <c r="P339" s="44">
        <f>IF(O339="","",O339*IFERROR(INDEX(Settings!$B$8:$B$15,MATCH(C339,Settings!$A$8:$A$15,0)),0))</f>
        <v/>
      </c>
      <c r="Q339" s="44">
        <f>IF(OR(G339="",H339=""),"",H339*IFERROR(INDEX(Products!$J$2:$J$101,MATCH(G339,Products!$A$2:$A$101,0)),0))</f>
        <v/>
      </c>
      <c r="R339" s="44">
        <f>IF(K339="Delivered",N(O339)+N(M339)-N(N339)-N(P339)-N(Q339),IF(OR(K339="Returned",K339="Failed delivery"),-N(N339),""))</f>
        <v/>
      </c>
      <c r="S339">
        <f>IF(E339="","",IF(MATCH(E339,$E$2:E339,0)&lt;ROWS($E$2:E339),"Repeat","New"))</f>
        <v/>
      </c>
      <c r="T339" s="34" t="n"/>
    </row>
    <row r="340">
      <c r="A340" s="34" t="n"/>
      <c r="B340" s="45" t="n"/>
      <c r="C340" s="34" t="n"/>
      <c r="D340" s="34" t="n"/>
      <c r="E340" s="47" t="n"/>
      <c r="F340" s="34" t="n"/>
      <c r="G340" s="34" t="n"/>
      <c r="H340" s="34" t="n"/>
      <c r="I340" s="36" t="n"/>
      <c r="J340" s="46">
        <f>IF(G340="","",IFERROR(INDEX(Products!$B$2:$B$101,MATCH(G340,Products!$A$2:$A$101,0)),"Unknown SKU"))</f>
        <v/>
      </c>
      <c r="K340" s="34" t="n"/>
      <c r="L340" s="34" t="n"/>
      <c r="M340" s="36" t="n"/>
      <c r="N340" s="36" t="n"/>
      <c r="O340" s="44">
        <f>IF(OR(H340="",I340=""),"",H340*I340)</f>
        <v/>
      </c>
      <c r="P340" s="44">
        <f>IF(O340="","",O340*IFERROR(INDEX(Settings!$B$8:$B$15,MATCH(C340,Settings!$A$8:$A$15,0)),0))</f>
        <v/>
      </c>
      <c r="Q340" s="44">
        <f>IF(OR(G340="",H340=""),"",H340*IFERROR(INDEX(Products!$J$2:$J$101,MATCH(G340,Products!$A$2:$A$101,0)),0))</f>
        <v/>
      </c>
      <c r="R340" s="44">
        <f>IF(K340="Delivered",N(O340)+N(M340)-N(N340)-N(P340)-N(Q340),IF(OR(K340="Returned",K340="Failed delivery"),-N(N340),""))</f>
        <v/>
      </c>
      <c r="S340">
        <f>IF(E340="","",IF(MATCH(E340,$E$2:E340,0)&lt;ROWS($E$2:E340),"Repeat","New"))</f>
        <v/>
      </c>
      <c r="T340" s="34" t="n"/>
    </row>
    <row r="341">
      <c r="A341" s="34" t="n"/>
      <c r="B341" s="45" t="n"/>
      <c r="C341" s="34" t="n"/>
      <c r="D341" s="34" t="n"/>
      <c r="E341" s="47" t="n"/>
      <c r="F341" s="34" t="n"/>
      <c r="G341" s="34" t="n"/>
      <c r="H341" s="34" t="n"/>
      <c r="I341" s="36" t="n"/>
      <c r="J341" s="46">
        <f>IF(G341="","",IFERROR(INDEX(Products!$B$2:$B$101,MATCH(G341,Products!$A$2:$A$101,0)),"Unknown SKU"))</f>
        <v/>
      </c>
      <c r="K341" s="34" t="n"/>
      <c r="L341" s="34" t="n"/>
      <c r="M341" s="36" t="n"/>
      <c r="N341" s="36" t="n"/>
      <c r="O341" s="44">
        <f>IF(OR(H341="",I341=""),"",H341*I341)</f>
        <v/>
      </c>
      <c r="P341" s="44">
        <f>IF(O341="","",O341*IFERROR(INDEX(Settings!$B$8:$B$15,MATCH(C341,Settings!$A$8:$A$15,0)),0))</f>
        <v/>
      </c>
      <c r="Q341" s="44">
        <f>IF(OR(G341="",H341=""),"",H341*IFERROR(INDEX(Products!$J$2:$J$101,MATCH(G341,Products!$A$2:$A$101,0)),0))</f>
        <v/>
      </c>
      <c r="R341" s="44">
        <f>IF(K341="Delivered",N(O341)+N(M341)-N(N341)-N(P341)-N(Q341),IF(OR(K341="Returned",K341="Failed delivery"),-N(N341),""))</f>
        <v/>
      </c>
      <c r="S341">
        <f>IF(E341="","",IF(MATCH(E341,$E$2:E341,0)&lt;ROWS($E$2:E341),"Repeat","New"))</f>
        <v/>
      </c>
      <c r="T341" s="34" t="n"/>
    </row>
    <row r="342">
      <c r="A342" s="34" t="n"/>
      <c r="B342" s="45" t="n"/>
      <c r="C342" s="34" t="n"/>
      <c r="D342" s="34" t="n"/>
      <c r="E342" s="47" t="n"/>
      <c r="F342" s="34" t="n"/>
      <c r="G342" s="34" t="n"/>
      <c r="H342" s="34" t="n"/>
      <c r="I342" s="36" t="n"/>
      <c r="J342" s="46">
        <f>IF(G342="","",IFERROR(INDEX(Products!$B$2:$B$101,MATCH(G342,Products!$A$2:$A$101,0)),"Unknown SKU"))</f>
        <v/>
      </c>
      <c r="K342" s="34" t="n"/>
      <c r="L342" s="34" t="n"/>
      <c r="M342" s="36" t="n"/>
      <c r="N342" s="36" t="n"/>
      <c r="O342" s="44">
        <f>IF(OR(H342="",I342=""),"",H342*I342)</f>
        <v/>
      </c>
      <c r="P342" s="44">
        <f>IF(O342="","",O342*IFERROR(INDEX(Settings!$B$8:$B$15,MATCH(C342,Settings!$A$8:$A$15,0)),0))</f>
        <v/>
      </c>
      <c r="Q342" s="44">
        <f>IF(OR(G342="",H342=""),"",H342*IFERROR(INDEX(Products!$J$2:$J$101,MATCH(G342,Products!$A$2:$A$101,0)),0))</f>
        <v/>
      </c>
      <c r="R342" s="44">
        <f>IF(K342="Delivered",N(O342)+N(M342)-N(N342)-N(P342)-N(Q342),IF(OR(K342="Returned",K342="Failed delivery"),-N(N342),""))</f>
        <v/>
      </c>
      <c r="S342">
        <f>IF(E342="","",IF(MATCH(E342,$E$2:E342,0)&lt;ROWS($E$2:E342),"Repeat","New"))</f>
        <v/>
      </c>
      <c r="T342" s="34" t="n"/>
    </row>
    <row r="343">
      <c r="A343" s="34" t="n"/>
      <c r="B343" s="45" t="n"/>
      <c r="C343" s="34" t="n"/>
      <c r="D343" s="34" t="n"/>
      <c r="E343" s="47" t="n"/>
      <c r="F343" s="34" t="n"/>
      <c r="G343" s="34" t="n"/>
      <c r="H343" s="34" t="n"/>
      <c r="I343" s="36" t="n"/>
      <c r="J343" s="46">
        <f>IF(G343="","",IFERROR(INDEX(Products!$B$2:$B$101,MATCH(G343,Products!$A$2:$A$101,0)),"Unknown SKU"))</f>
        <v/>
      </c>
      <c r="K343" s="34" t="n"/>
      <c r="L343" s="34" t="n"/>
      <c r="M343" s="36" t="n"/>
      <c r="N343" s="36" t="n"/>
      <c r="O343" s="44">
        <f>IF(OR(H343="",I343=""),"",H343*I343)</f>
        <v/>
      </c>
      <c r="P343" s="44">
        <f>IF(O343="","",O343*IFERROR(INDEX(Settings!$B$8:$B$15,MATCH(C343,Settings!$A$8:$A$15,0)),0))</f>
        <v/>
      </c>
      <c r="Q343" s="44">
        <f>IF(OR(G343="",H343=""),"",H343*IFERROR(INDEX(Products!$J$2:$J$101,MATCH(G343,Products!$A$2:$A$101,0)),0))</f>
        <v/>
      </c>
      <c r="R343" s="44">
        <f>IF(K343="Delivered",N(O343)+N(M343)-N(N343)-N(P343)-N(Q343),IF(OR(K343="Returned",K343="Failed delivery"),-N(N343),""))</f>
        <v/>
      </c>
      <c r="S343">
        <f>IF(E343="","",IF(MATCH(E343,$E$2:E343,0)&lt;ROWS($E$2:E343),"Repeat","New"))</f>
        <v/>
      </c>
      <c r="T343" s="34" t="n"/>
    </row>
    <row r="344">
      <c r="A344" s="34" t="n"/>
      <c r="B344" s="45" t="n"/>
      <c r="C344" s="34" t="n"/>
      <c r="D344" s="34" t="n"/>
      <c r="E344" s="47" t="n"/>
      <c r="F344" s="34" t="n"/>
      <c r="G344" s="34" t="n"/>
      <c r="H344" s="34" t="n"/>
      <c r="I344" s="36" t="n"/>
      <c r="J344" s="46">
        <f>IF(G344="","",IFERROR(INDEX(Products!$B$2:$B$101,MATCH(G344,Products!$A$2:$A$101,0)),"Unknown SKU"))</f>
        <v/>
      </c>
      <c r="K344" s="34" t="n"/>
      <c r="L344" s="34" t="n"/>
      <c r="M344" s="36" t="n"/>
      <c r="N344" s="36" t="n"/>
      <c r="O344" s="44">
        <f>IF(OR(H344="",I344=""),"",H344*I344)</f>
        <v/>
      </c>
      <c r="P344" s="44">
        <f>IF(O344="","",O344*IFERROR(INDEX(Settings!$B$8:$B$15,MATCH(C344,Settings!$A$8:$A$15,0)),0))</f>
        <v/>
      </c>
      <c r="Q344" s="44">
        <f>IF(OR(G344="",H344=""),"",H344*IFERROR(INDEX(Products!$J$2:$J$101,MATCH(G344,Products!$A$2:$A$101,0)),0))</f>
        <v/>
      </c>
      <c r="R344" s="44">
        <f>IF(K344="Delivered",N(O344)+N(M344)-N(N344)-N(P344)-N(Q344),IF(OR(K344="Returned",K344="Failed delivery"),-N(N344),""))</f>
        <v/>
      </c>
      <c r="S344">
        <f>IF(E344="","",IF(MATCH(E344,$E$2:E344,0)&lt;ROWS($E$2:E344),"Repeat","New"))</f>
        <v/>
      </c>
      <c r="T344" s="34" t="n"/>
    </row>
    <row r="345">
      <c r="A345" s="34" t="n"/>
      <c r="B345" s="45" t="n"/>
      <c r="C345" s="34" t="n"/>
      <c r="D345" s="34" t="n"/>
      <c r="E345" s="47" t="n"/>
      <c r="F345" s="34" t="n"/>
      <c r="G345" s="34" t="n"/>
      <c r="H345" s="34" t="n"/>
      <c r="I345" s="36" t="n"/>
      <c r="J345" s="46">
        <f>IF(G345="","",IFERROR(INDEX(Products!$B$2:$B$101,MATCH(G345,Products!$A$2:$A$101,0)),"Unknown SKU"))</f>
        <v/>
      </c>
      <c r="K345" s="34" t="n"/>
      <c r="L345" s="34" t="n"/>
      <c r="M345" s="36" t="n"/>
      <c r="N345" s="36" t="n"/>
      <c r="O345" s="44">
        <f>IF(OR(H345="",I345=""),"",H345*I345)</f>
        <v/>
      </c>
      <c r="P345" s="44">
        <f>IF(O345="","",O345*IFERROR(INDEX(Settings!$B$8:$B$15,MATCH(C345,Settings!$A$8:$A$15,0)),0))</f>
        <v/>
      </c>
      <c r="Q345" s="44">
        <f>IF(OR(G345="",H345=""),"",H345*IFERROR(INDEX(Products!$J$2:$J$101,MATCH(G345,Products!$A$2:$A$101,0)),0))</f>
        <v/>
      </c>
      <c r="R345" s="44">
        <f>IF(K345="Delivered",N(O345)+N(M345)-N(N345)-N(P345)-N(Q345),IF(OR(K345="Returned",K345="Failed delivery"),-N(N345),""))</f>
        <v/>
      </c>
      <c r="S345">
        <f>IF(E345="","",IF(MATCH(E345,$E$2:E345,0)&lt;ROWS($E$2:E345),"Repeat","New"))</f>
        <v/>
      </c>
      <c r="T345" s="34" t="n"/>
    </row>
    <row r="346">
      <c r="A346" s="34" t="n"/>
      <c r="B346" s="45" t="n"/>
      <c r="C346" s="34" t="n"/>
      <c r="D346" s="34" t="n"/>
      <c r="E346" s="47" t="n"/>
      <c r="F346" s="34" t="n"/>
      <c r="G346" s="34" t="n"/>
      <c r="H346" s="34" t="n"/>
      <c r="I346" s="36" t="n"/>
      <c r="J346" s="46">
        <f>IF(G346="","",IFERROR(INDEX(Products!$B$2:$B$101,MATCH(G346,Products!$A$2:$A$101,0)),"Unknown SKU"))</f>
        <v/>
      </c>
      <c r="K346" s="34" t="n"/>
      <c r="L346" s="34" t="n"/>
      <c r="M346" s="36" t="n"/>
      <c r="N346" s="36" t="n"/>
      <c r="O346" s="44">
        <f>IF(OR(H346="",I346=""),"",H346*I346)</f>
        <v/>
      </c>
      <c r="P346" s="44">
        <f>IF(O346="","",O346*IFERROR(INDEX(Settings!$B$8:$B$15,MATCH(C346,Settings!$A$8:$A$15,0)),0))</f>
        <v/>
      </c>
      <c r="Q346" s="44">
        <f>IF(OR(G346="",H346=""),"",H346*IFERROR(INDEX(Products!$J$2:$J$101,MATCH(G346,Products!$A$2:$A$101,0)),0))</f>
        <v/>
      </c>
      <c r="R346" s="44">
        <f>IF(K346="Delivered",N(O346)+N(M346)-N(N346)-N(P346)-N(Q346),IF(OR(K346="Returned",K346="Failed delivery"),-N(N346),""))</f>
        <v/>
      </c>
      <c r="S346">
        <f>IF(E346="","",IF(MATCH(E346,$E$2:E346,0)&lt;ROWS($E$2:E346),"Repeat","New"))</f>
        <v/>
      </c>
      <c r="T346" s="34" t="n"/>
    </row>
    <row r="347">
      <c r="A347" s="34" t="n"/>
      <c r="B347" s="45" t="n"/>
      <c r="C347" s="34" t="n"/>
      <c r="D347" s="34" t="n"/>
      <c r="E347" s="47" t="n"/>
      <c r="F347" s="34" t="n"/>
      <c r="G347" s="34" t="n"/>
      <c r="H347" s="34" t="n"/>
      <c r="I347" s="36" t="n"/>
      <c r="J347" s="46">
        <f>IF(G347="","",IFERROR(INDEX(Products!$B$2:$B$101,MATCH(G347,Products!$A$2:$A$101,0)),"Unknown SKU"))</f>
        <v/>
      </c>
      <c r="K347" s="34" t="n"/>
      <c r="L347" s="34" t="n"/>
      <c r="M347" s="36" t="n"/>
      <c r="N347" s="36" t="n"/>
      <c r="O347" s="44">
        <f>IF(OR(H347="",I347=""),"",H347*I347)</f>
        <v/>
      </c>
      <c r="P347" s="44">
        <f>IF(O347="","",O347*IFERROR(INDEX(Settings!$B$8:$B$15,MATCH(C347,Settings!$A$8:$A$15,0)),0))</f>
        <v/>
      </c>
      <c r="Q347" s="44">
        <f>IF(OR(G347="",H347=""),"",H347*IFERROR(INDEX(Products!$J$2:$J$101,MATCH(G347,Products!$A$2:$A$101,0)),0))</f>
        <v/>
      </c>
      <c r="R347" s="44">
        <f>IF(K347="Delivered",N(O347)+N(M347)-N(N347)-N(P347)-N(Q347),IF(OR(K347="Returned",K347="Failed delivery"),-N(N347),""))</f>
        <v/>
      </c>
      <c r="S347">
        <f>IF(E347="","",IF(MATCH(E347,$E$2:E347,0)&lt;ROWS($E$2:E347),"Repeat","New"))</f>
        <v/>
      </c>
      <c r="T347" s="34" t="n"/>
    </row>
    <row r="348">
      <c r="A348" s="34" t="n"/>
      <c r="B348" s="45" t="n"/>
      <c r="C348" s="34" t="n"/>
      <c r="D348" s="34" t="n"/>
      <c r="E348" s="47" t="n"/>
      <c r="F348" s="34" t="n"/>
      <c r="G348" s="34" t="n"/>
      <c r="H348" s="34" t="n"/>
      <c r="I348" s="36" t="n"/>
      <c r="J348" s="46">
        <f>IF(G348="","",IFERROR(INDEX(Products!$B$2:$B$101,MATCH(G348,Products!$A$2:$A$101,0)),"Unknown SKU"))</f>
        <v/>
      </c>
      <c r="K348" s="34" t="n"/>
      <c r="L348" s="34" t="n"/>
      <c r="M348" s="36" t="n"/>
      <c r="N348" s="36" t="n"/>
      <c r="O348" s="44">
        <f>IF(OR(H348="",I348=""),"",H348*I348)</f>
        <v/>
      </c>
      <c r="P348" s="44">
        <f>IF(O348="","",O348*IFERROR(INDEX(Settings!$B$8:$B$15,MATCH(C348,Settings!$A$8:$A$15,0)),0))</f>
        <v/>
      </c>
      <c r="Q348" s="44">
        <f>IF(OR(G348="",H348=""),"",H348*IFERROR(INDEX(Products!$J$2:$J$101,MATCH(G348,Products!$A$2:$A$101,0)),0))</f>
        <v/>
      </c>
      <c r="R348" s="44">
        <f>IF(K348="Delivered",N(O348)+N(M348)-N(N348)-N(P348)-N(Q348),IF(OR(K348="Returned",K348="Failed delivery"),-N(N348),""))</f>
        <v/>
      </c>
      <c r="S348">
        <f>IF(E348="","",IF(MATCH(E348,$E$2:E348,0)&lt;ROWS($E$2:E348),"Repeat","New"))</f>
        <v/>
      </c>
      <c r="T348" s="34" t="n"/>
    </row>
    <row r="349">
      <c r="A349" s="34" t="n"/>
      <c r="B349" s="45" t="n"/>
      <c r="C349" s="34" t="n"/>
      <c r="D349" s="34" t="n"/>
      <c r="E349" s="47" t="n"/>
      <c r="F349" s="34" t="n"/>
      <c r="G349" s="34" t="n"/>
      <c r="H349" s="34" t="n"/>
      <c r="I349" s="36" t="n"/>
      <c r="J349" s="46">
        <f>IF(G349="","",IFERROR(INDEX(Products!$B$2:$B$101,MATCH(G349,Products!$A$2:$A$101,0)),"Unknown SKU"))</f>
        <v/>
      </c>
      <c r="K349" s="34" t="n"/>
      <c r="L349" s="34" t="n"/>
      <c r="M349" s="36" t="n"/>
      <c r="N349" s="36" t="n"/>
      <c r="O349" s="44">
        <f>IF(OR(H349="",I349=""),"",H349*I349)</f>
        <v/>
      </c>
      <c r="P349" s="44">
        <f>IF(O349="","",O349*IFERROR(INDEX(Settings!$B$8:$B$15,MATCH(C349,Settings!$A$8:$A$15,0)),0))</f>
        <v/>
      </c>
      <c r="Q349" s="44">
        <f>IF(OR(G349="",H349=""),"",H349*IFERROR(INDEX(Products!$J$2:$J$101,MATCH(G349,Products!$A$2:$A$101,0)),0))</f>
        <v/>
      </c>
      <c r="R349" s="44">
        <f>IF(K349="Delivered",N(O349)+N(M349)-N(N349)-N(P349)-N(Q349),IF(OR(K349="Returned",K349="Failed delivery"),-N(N349),""))</f>
        <v/>
      </c>
      <c r="S349">
        <f>IF(E349="","",IF(MATCH(E349,$E$2:E349,0)&lt;ROWS($E$2:E349),"Repeat","New"))</f>
        <v/>
      </c>
      <c r="T349" s="34" t="n"/>
    </row>
    <row r="350">
      <c r="A350" s="34" t="n"/>
      <c r="B350" s="45" t="n"/>
      <c r="C350" s="34" t="n"/>
      <c r="D350" s="34" t="n"/>
      <c r="E350" s="47" t="n"/>
      <c r="F350" s="34" t="n"/>
      <c r="G350" s="34" t="n"/>
      <c r="H350" s="34" t="n"/>
      <c r="I350" s="36" t="n"/>
      <c r="J350" s="46">
        <f>IF(G350="","",IFERROR(INDEX(Products!$B$2:$B$101,MATCH(G350,Products!$A$2:$A$101,0)),"Unknown SKU"))</f>
        <v/>
      </c>
      <c r="K350" s="34" t="n"/>
      <c r="L350" s="34" t="n"/>
      <c r="M350" s="36" t="n"/>
      <c r="N350" s="36" t="n"/>
      <c r="O350" s="44">
        <f>IF(OR(H350="",I350=""),"",H350*I350)</f>
        <v/>
      </c>
      <c r="P350" s="44">
        <f>IF(O350="","",O350*IFERROR(INDEX(Settings!$B$8:$B$15,MATCH(C350,Settings!$A$8:$A$15,0)),0))</f>
        <v/>
      </c>
      <c r="Q350" s="44">
        <f>IF(OR(G350="",H350=""),"",H350*IFERROR(INDEX(Products!$J$2:$J$101,MATCH(G350,Products!$A$2:$A$101,0)),0))</f>
        <v/>
      </c>
      <c r="R350" s="44">
        <f>IF(K350="Delivered",N(O350)+N(M350)-N(N350)-N(P350)-N(Q350),IF(OR(K350="Returned",K350="Failed delivery"),-N(N350),""))</f>
        <v/>
      </c>
      <c r="S350">
        <f>IF(E350="","",IF(MATCH(E350,$E$2:E350,0)&lt;ROWS($E$2:E350),"Repeat","New"))</f>
        <v/>
      </c>
      <c r="T350" s="34" t="n"/>
    </row>
    <row r="351">
      <c r="A351" s="34" t="n"/>
      <c r="B351" s="45" t="n"/>
      <c r="C351" s="34" t="n"/>
      <c r="D351" s="34" t="n"/>
      <c r="E351" s="47" t="n"/>
      <c r="F351" s="34" t="n"/>
      <c r="G351" s="34" t="n"/>
      <c r="H351" s="34" t="n"/>
      <c r="I351" s="36" t="n"/>
      <c r="J351" s="46">
        <f>IF(G351="","",IFERROR(INDEX(Products!$B$2:$B$101,MATCH(G351,Products!$A$2:$A$101,0)),"Unknown SKU"))</f>
        <v/>
      </c>
      <c r="K351" s="34" t="n"/>
      <c r="L351" s="34" t="n"/>
      <c r="M351" s="36" t="n"/>
      <c r="N351" s="36" t="n"/>
      <c r="O351" s="44">
        <f>IF(OR(H351="",I351=""),"",H351*I351)</f>
        <v/>
      </c>
      <c r="P351" s="44">
        <f>IF(O351="","",O351*IFERROR(INDEX(Settings!$B$8:$B$15,MATCH(C351,Settings!$A$8:$A$15,0)),0))</f>
        <v/>
      </c>
      <c r="Q351" s="44">
        <f>IF(OR(G351="",H351=""),"",H351*IFERROR(INDEX(Products!$J$2:$J$101,MATCH(G351,Products!$A$2:$A$101,0)),0))</f>
        <v/>
      </c>
      <c r="R351" s="44">
        <f>IF(K351="Delivered",N(O351)+N(M351)-N(N351)-N(P351)-N(Q351),IF(OR(K351="Returned",K351="Failed delivery"),-N(N351),""))</f>
        <v/>
      </c>
      <c r="S351">
        <f>IF(E351="","",IF(MATCH(E351,$E$2:E351,0)&lt;ROWS($E$2:E351),"Repeat","New"))</f>
        <v/>
      </c>
      <c r="T351" s="34" t="n"/>
    </row>
    <row r="352">
      <c r="A352" s="34" t="n"/>
      <c r="B352" s="45" t="n"/>
      <c r="C352" s="34" t="n"/>
      <c r="D352" s="34" t="n"/>
      <c r="E352" s="47" t="n"/>
      <c r="F352" s="34" t="n"/>
      <c r="G352" s="34" t="n"/>
      <c r="H352" s="34" t="n"/>
      <c r="I352" s="36" t="n"/>
      <c r="J352" s="46">
        <f>IF(G352="","",IFERROR(INDEX(Products!$B$2:$B$101,MATCH(G352,Products!$A$2:$A$101,0)),"Unknown SKU"))</f>
        <v/>
      </c>
      <c r="K352" s="34" t="n"/>
      <c r="L352" s="34" t="n"/>
      <c r="M352" s="36" t="n"/>
      <c r="N352" s="36" t="n"/>
      <c r="O352" s="44">
        <f>IF(OR(H352="",I352=""),"",H352*I352)</f>
        <v/>
      </c>
      <c r="P352" s="44">
        <f>IF(O352="","",O352*IFERROR(INDEX(Settings!$B$8:$B$15,MATCH(C352,Settings!$A$8:$A$15,0)),0))</f>
        <v/>
      </c>
      <c r="Q352" s="44">
        <f>IF(OR(G352="",H352=""),"",H352*IFERROR(INDEX(Products!$J$2:$J$101,MATCH(G352,Products!$A$2:$A$101,0)),0))</f>
        <v/>
      </c>
      <c r="R352" s="44">
        <f>IF(K352="Delivered",N(O352)+N(M352)-N(N352)-N(P352)-N(Q352),IF(OR(K352="Returned",K352="Failed delivery"),-N(N352),""))</f>
        <v/>
      </c>
      <c r="S352">
        <f>IF(E352="","",IF(MATCH(E352,$E$2:E352,0)&lt;ROWS($E$2:E352),"Repeat","New"))</f>
        <v/>
      </c>
      <c r="T352" s="34" t="n"/>
    </row>
    <row r="353">
      <c r="A353" s="34" t="n"/>
      <c r="B353" s="45" t="n"/>
      <c r="C353" s="34" t="n"/>
      <c r="D353" s="34" t="n"/>
      <c r="E353" s="47" t="n"/>
      <c r="F353" s="34" t="n"/>
      <c r="G353" s="34" t="n"/>
      <c r="H353" s="34" t="n"/>
      <c r="I353" s="36" t="n"/>
      <c r="J353" s="46">
        <f>IF(G353="","",IFERROR(INDEX(Products!$B$2:$B$101,MATCH(G353,Products!$A$2:$A$101,0)),"Unknown SKU"))</f>
        <v/>
      </c>
      <c r="K353" s="34" t="n"/>
      <c r="L353" s="34" t="n"/>
      <c r="M353" s="36" t="n"/>
      <c r="N353" s="36" t="n"/>
      <c r="O353" s="44">
        <f>IF(OR(H353="",I353=""),"",H353*I353)</f>
        <v/>
      </c>
      <c r="P353" s="44">
        <f>IF(O353="","",O353*IFERROR(INDEX(Settings!$B$8:$B$15,MATCH(C353,Settings!$A$8:$A$15,0)),0))</f>
        <v/>
      </c>
      <c r="Q353" s="44">
        <f>IF(OR(G353="",H353=""),"",H353*IFERROR(INDEX(Products!$J$2:$J$101,MATCH(G353,Products!$A$2:$A$101,0)),0))</f>
        <v/>
      </c>
      <c r="R353" s="44">
        <f>IF(K353="Delivered",N(O353)+N(M353)-N(N353)-N(P353)-N(Q353),IF(OR(K353="Returned",K353="Failed delivery"),-N(N353),""))</f>
        <v/>
      </c>
      <c r="S353">
        <f>IF(E353="","",IF(MATCH(E353,$E$2:E353,0)&lt;ROWS($E$2:E353),"Repeat","New"))</f>
        <v/>
      </c>
      <c r="T353" s="34" t="n"/>
    </row>
    <row r="354">
      <c r="A354" s="34" t="n"/>
      <c r="B354" s="45" t="n"/>
      <c r="C354" s="34" t="n"/>
      <c r="D354" s="34" t="n"/>
      <c r="E354" s="47" t="n"/>
      <c r="F354" s="34" t="n"/>
      <c r="G354" s="34" t="n"/>
      <c r="H354" s="34" t="n"/>
      <c r="I354" s="36" t="n"/>
      <c r="J354" s="46">
        <f>IF(G354="","",IFERROR(INDEX(Products!$B$2:$B$101,MATCH(G354,Products!$A$2:$A$101,0)),"Unknown SKU"))</f>
        <v/>
      </c>
      <c r="K354" s="34" t="n"/>
      <c r="L354" s="34" t="n"/>
      <c r="M354" s="36" t="n"/>
      <c r="N354" s="36" t="n"/>
      <c r="O354" s="44">
        <f>IF(OR(H354="",I354=""),"",H354*I354)</f>
        <v/>
      </c>
      <c r="P354" s="44">
        <f>IF(O354="","",O354*IFERROR(INDEX(Settings!$B$8:$B$15,MATCH(C354,Settings!$A$8:$A$15,0)),0))</f>
        <v/>
      </c>
      <c r="Q354" s="44">
        <f>IF(OR(G354="",H354=""),"",H354*IFERROR(INDEX(Products!$J$2:$J$101,MATCH(G354,Products!$A$2:$A$101,0)),0))</f>
        <v/>
      </c>
      <c r="R354" s="44">
        <f>IF(K354="Delivered",N(O354)+N(M354)-N(N354)-N(P354)-N(Q354),IF(OR(K354="Returned",K354="Failed delivery"),-N(N354),""))</f>
        <v/>
      </c>
      <c r="S354">
        <f>IF(E354="","",IF(MATCH(E354,$E$2:E354,0)&lt;ROWS($E$2:E354),"Repeat","New"))</f>
        <v/>
      </c>
      <c r="T354" s="34" t="n"/>
    </row>
    <row r="355">
      <c r="A355" s="34" t="n"/>
      <c r="B355" s="45" t="n"/>
      <c r="C355" s="34" t="n"/>
      <c r="D355" s="34" t="n"/>
      <c r="E355" s="47" t="n"/>
      <c r="F355" s="34" t="n"/>
      <c r="G355" s="34" t="n"/>
      <c r="H355" s="34" t="n"/>
      <c r="I355" s="36" t="n"/>
      <c r="J355" s="46">
        <f>IF(G355="","",IFERROR(INDEX(Products!$B$2:$B$101,MATCH(G355,Products!$A$2:$A$101,0)),"Unknown SKU"))</f>
        <v/>
      </c>
      <c r="K355" s="34" t="n"/>
      <c r="L355" s="34" t="n"/>
      <c r="M355" s="36" t="n"/>
      <c r="N355" s="36" t="n"/>
      <c r="O355" s="44">
        <f>IF(OR(H355="",I355=""),"",H355*I355)</f>
        <v/>
      </c>
      <c r="P355" s="44">
        <f>IF(O355="","",O355*IFERROR(INDEX(Settings!$B$8:$B$15,MATCH(C355,Settings!$A$8:$A$15,0)),0))</f>
        <v/>
      </c>
      <c r="Q355" s="44">
        <f>IF(OR(G355="",H355=""),"",H355*IFERROR(INDEX(Products!$J$2:$J$101,MATCH(G355,Products!$A$2:$A$101,0)),0))</f>
        <v/>
      </c>
      <c r="R355" s="44">
        <f>IF(K355="Delivered",N(O355)+N(M355)-N(N355)-N(P355)-N(Q355),IF(OR(K355="Returned",K355="Failed delivery"),-N(N355),""))</f>
        <v/>
      </c>
      <c r="S355">
        <f>IF(E355="","",IF(MATCH(E355,$E$2:E355,0)&lt;ROWS($E$2:E355),"Repeat","New"))</f>
        <v/>
      </c>
      <c r="T355" s="34" t="n"/>
    </row>
    <row r="356">
      <c r="A356" s="34" t="n"/>
      <c r="B356" s="45" t="n"/>
      <c r="C356" s="34" t="n"/>
      <c r="D356" s="34" t="n"/>
      <c r="E356" s="47" t="n"/>
      <c r="F356" s="34" t="n"/>
      <c r="G356" s="34" t="n"/>
      <c r="H356" s="34" t="n"/>
      <c r="I356" s="36" t="n"/>
      <c r="J356" s="46">
        <f>IF(G356="","",IFERROR(INDEX(Products!$B$2:$B$101,MATCH(G356,Products!$A$2:$A$101,0)),"Unknown SKU"))</f>
        <v/>
      </c>
      <c r="K356" s="34" t="n"/>
      <c r="L356" s="34" t="n"/>
      <c r="M356" s="36" t="n"/>
      <c r="N356" s="36" t="n"/>
      <c r="O356" s="44">
        <f>IF(OR(H356="",I356=""),"",H356*I356)</f>
        <v/>
      </c>
      <c r="P356" s="44">
        <f>IF(O356="","",O356*IFERROR(INDEX(Settings!$B$8:$B$15,MATCH(C356,Settings!$A$8:$A$15,0)),0))</f>
        <v/>
      </c>
      <c r="Q356" s="44">
        <f>IF(OR(G356="",H356=""),"",H356*IFERROR(INDEX(Products!$J$2:$J$101,MATCH(G356,Products!$A$2:$A$101,0)),0))</f>
        <v/>
      </c>
      <c r="R356" s="44">
        <f>IF(K356="Delivered",N(O356)+N(M356)-N(N356)-N(P356)-N(Q356),IF(OR(K356="Returned",K356="Failed delivery"),-N(N356),""))</f>
        <v/>
      </c>
      <c r="S356">
        <f>IF(E356="","",IF(MATCH(E356,$E$2:E356,0)&lt;ROWS($E$2:E356),"Repeat","New"))</f>
        <v/>
      </c>
      <c r="T356" s="34" t="n"/>
    </row>
    <row r="357">
      <c r="A357" s="34" t="n"/>
      <c r="B357" s="45" t="n"/>
      <c r="C357" s="34" t="n"/>
      <c r="D357" s="34" t="n"/>
      <c r="E357" s="47" t="n"/>
      <c r="F357" s="34" t="n"/>
      <c r="G357" s="34" t="n"/>
      <c r="H357" s="34" t="n"/>
      <c r="I357" s="36" t="n"/>
      <c r="J357" s="46">
        <f>IF(G357="","",IFERROR(INDEX(Products!$B$2:$B$101,MATCH(G357,Products!$A$2:$A$101,0)),"Unknown SKU"))</f>
        <v/>
      </c>
      <c r="K357" s="34" t="n"/>
      <c r="L357" s="34" t="n"/>
      <c r="M357" s="36" t="n"/>
      <c r="N357" s="36" t="n"/>
      <c r="O357" s="44">
        <f>IF(OR(H357="",I357=""),"",H357*I357)</f>
        <v/>
      </c>
      <c r="P357" s="44">
        <f>IF(O357="","",O357*IFERROR(INDEX(Settings!$B$8:$B$15,MATCH(C357,Settings!$A$8:$A$15,0)),0))</f>
        <v/>
      </c>
      <c r="Q357" s="44">
        <f>IF(OR(G357="",H357=""),"",H357*IFERROR(INDEX(Products!$J$2:$J$101,MATCH(G357,Products!$A$2:$A$101,0)),0))</f>
        <v/>
      </c>
      <c r="R357" s="44">
        <f>IF(K357="Delivered",N(O357)+N(M357)-N(N357)-N(P357)-N(Q357),IF(OR(K357="Returned",K357="Failed delivery"),-N(N357),""))</f>
        <v/>
      </c>
      <c r="S357">
        <f>IF(E357="","",IF(MATCH(E357,$E$2:E357,0)&lt;ROWS($E$2:E357),"Repeat","New"))</f>
        <v/>
      </c>
      <c r="T357" s="34" t="n"/>
    </row>
    <row r="358">
      <c r="A358" s="34" t="n"/>
      <c r="B358" s="45" t="n"/>
      <c r="C358" s="34" t="n"/>
      <c r="D358" s="34" t="n"/>
      <c r="E358" s="47" t="n"/>
      <c r="F358" s="34" t="n"/>
      <c r="G358" s="34" t="n"/>
      <c r="H358" s="34" t="n"/>
      <c r="I358" s="36" t="n"/>
      <c r="J358" s="46">
        <f>IF(G358="","",IFERROR(INDEX(Products!$B$2:$B$101,MATCH(G358,Products!$A$2:$A$101,0)),"Unknown SKU"))</f>
        <v/>
      </c>
      <c r="K358" s="34" t="n"/>
      <c r="L358" s="34" t="n"/>
      <c r="M358" s="36" t="n"/>
      <c r="N358" s="36" t="n"/>
      <c r="O358" s="44">
        <f>IF(OR(H358="",I358=""),"",H358*I358)</f>
        <v/>
      </c>
      <c r="P358" s="44">
        <f>IF(O358="","",O358*IFERROR(INDEX(Settings!$B$8:$B$15,MATCH(C358,Settings!$A$8:$A$15,0)),0))</f>
        <v/>
      </c>
      <c r="Q358" s="44">
        <f>IF(OR(G358="",H358=""),"",H358*IFERROR(INDEX(Products!$J$2:$J$101,MATCH(G358,Products!$A$2:$A$101,0)),0))</f>
        <v/>
      </c>
      <c r="R358" s="44">
        <f>IF(K358="Delivered",N(O358)+N(M358)-N(N358)-N(P358)-N(Q358),IF(OR(K358="Returned",K358="Failed delivery"),-N(N358),""))</f>
        <v/>
      </c>
      <c r="S358">
        <f>IF(E358="","",IF(MATCH(E358,$E$2:E358,0)&lt;ROWS($E$2:E358),"Repeat","New"))</f>
        <v/>
      </c>
      <c r="T358" s="34" t="n"/>
    </row>
    <row r="359">
      <c r="A359" s="34" t="n"/>
      <c r="B359" s="45" t="n"/>
      <c r="C359" s="34" t="n"/>
      <c r="D359" s="34" t="n"/>
      <c r="E359" s="47" t="n"/>
      <c r="F359" s="34" t="n"/>
      <c r="G359" s="34" t="n"/>
      <c r="H359" s="34" t="n"/>
      <c r="I359" s="36" t="n"/>
      <c r="J359" s="46">
        <f>IF(G359="","",IFERROR(INDEX(Products!$B$2:$B$101,MATCH(G359,Products!$A$2:$A$101,0)),"Unknown SKU"))</f>
        <v/>
      </c>
      <c r="K359" s="34" t="n"/>
      <c r="L359" s="34" t="n"/>
      <c r="M359" s="36" t="n"/>
      <c r="N359" s="36" t="n"/>
      <c r="O359" s="44">
        <f>IF(OR(H359="",I359=""),"",H359*I359)</f>
        <v/>
      </c>
      <c r="P359" s="44">
        <f>IF(O359="","",O359*IFERROR(INDEX(Settings!$B$8:$B$15,MATCH(C359,Settings!$A$8:$A$15,0)),0))</f>
        <v/>
      </c>
      <c r="Q359" s="44">
        <f>IF(OR(G359="",H359=""),"",H359*IFERROR(INDEX(Products!$J$2:$J$101,MATCH(G359,Products!$A$2:$A$101,0)),0))</f>
        <v/>
      </c>
      <c r="R359" s="44">
        <f>IF(K359="Delivered",N(O359)+N(M359)-N(N359)-N(P359)-N(Q359),IF(OR(K359="Returned",K359="Failed delivery"),-N(N359),""))</f>
        <v/>
      </c>
      <c r="S359">
        <f>IF(E359="","",IF(MATCH(E359,$E$2:E359,0)&lt;ROWS($E$2:E359),"Repeat","New"))</f>
        <v/>
      </c>
      <c r="T359" s="34" t="n"/>
    </row>
    <row r="360">
      <c r="A360" s="34" t="n"/>
      <c r="B360" s="45" t="n"/>
      <c r="C360" s="34" t="n"/>
      <c r="D360" s="34" t="n"/>
      <c r="E360" s="47" t="n"/>
      <c r="F360" s="34" t="n"/>
      <c r="G360" s="34" t="n"/>
      <c r="H360" s="34" t="n"/>
      <c r="I360" s="36" t="n"/>
      <c r="J360" s="46">
        <f>IF(G360="","",IFERROR(INDEX(Products!$B$2:$B$101,MATCH(G360,Products!$A$2:$A$101,0)),"Unknown SKU"))</f>
        <v/>
      </c>
      <c r="K360" s="34" t="n"/>
      <c r="L360" s="34" t="n"/>
      <c r="M360" s="36" t="n"/>
      <c r="N360" s="36" t="n"/>
      <c r="O360" s="44">
        <f>IF(OR(H360="",I360=""),"",H360*I360)</f>
        <v/>
      </c>
      <c r="P360" s="44">
        <f>IF(O360="","",O360*IFERROR(INDEX(Settings!$B$8:$B$15,MATCH(C360,Settings!$A$8:$A$15,0)),0))</f>
        <v/>
      </c>
      <c r="Q360" s="44">
        <f>IF(OR(G360="",H360=""),"",H360*IFERROR(INDEX(Products!$J$2:$J$101,MATCH(G360,Products!$A$2:$A$101,0)),0))</f>
        <v/>
      </c>
      <c r="R360" s="44">
        <f>IF(K360="Delivered",N(O360)+N(M360)-N(N360)-N(P360)-N(Q360),IF(OR(K360="Returned",K360="Failed delivery"),-N(N360),""))</f>
        <v/>
      </c>
      <c r="S360">
        <f>IF(E360="","",IF(MATCH(E360,$E$2:E360,0)&lt;ROWS($E$2:E360),"Repeat","New"))</f>
        <v/>
      </c>
      <c r="T360" s="34" t="n"/>
    </row>
    <row r="361">
      <c r="A361" s="34" t="n"/>
      <c r="B361" s="45" t="n"/>
      <c r="C361" s="34" t="n"/>
      <c r="D361" s="34" t="n"/>
      <c r="E361" s="47" t="n"/>
      <c r="F361" s="34" t="n"/>
      <c r="G361" s="34" t="n"/>
      <c r="H361" s="34" t="n"/>
      <c r="I361" s="36" t="n"/>
      <c r="J361" s="46">
        <f>IF(G361="","",IFERROR(INDEX(Products!$B$2:$B$101,MATCH(G361,Products!$A$2:$A$101,0)),"Unknown SKU"))</f>
        <v/>
      </c>
      <c r="K361" s="34" t="n"/>
      <c r="L361" s="34" t="n"/>
      <c r="M361" s="36" t="n"/>
      <c r="N361" s="36" t="n"/>
      <c r="O361" s="44">
        <f>IF(OR(H361="",I361=""),"",H361*I361)</f>
        <v/>
      </c>
      <c r="P361" s="44">
        <f>IF(O361="","",O361*IFERROR(INDEX(Settings!$B$8:$B$15,MATCH(C361,Settings!$A$8:$A$15,0)),0))</f>
        <v/>
      </c>
      <c r="Q361" s="44">
        <f>IF(OR(G361="",H361=""),"",H361*IFERROR(INDEX(Products!$J$2:$J$101,MATCH(G361,Products!$A$2:$A$101,0)),0))</f>
        <v/>
      </c>
      <c r="R361" s="44">
        <f>IF(K361="Delivered",N(O361)+N(M361)-N(N361)-N(P361)-N(Q361),IF(OR(K361="Returned",K361="Failed delivery"),-N(N361),""))</f>
        <v/>
      </c>
      <c r="S361">
        <f>IF(E361="","",IF(MATCH(E361,$E$2:E361,0)&lt;ROWS($E$2:E361),"Repeat","New"))</f>
        <v/>
      </c>
      <c r="T361" s="34" t="n"/>
    </row>
    <row r="362">
      <c r="A362" s="34" t="n"/>
      <c r="B362" s="45" t="n"/>
      <c r="C362" s="34" t="n"/>
      <c r="D362" s="34" t="n"/>
      <c r="E362" s="47" t="n"/>
      <c r="F362" s="34" t="n"/>
      <c r="G362" s="34" t="n"/>
      <c r="H362" s="34" t="n"/>
      <c r="I362" s="36" t="n"/>
      <c r="J362" s="46">
        <f>IF(G362="","",IFERROR(INDEX(Products!$B$2:$B$101,MATCH(G362,Products!$A$2:$A$101,0)),"Unknown SKU"))</f>
        <v/>
      </c>
      <c r="K362" s="34" t="n"/>
      <c r="L362" s="34" t="n"/>
      <c r="M362" s="36" t="n"/>
      <c r="N362" s="36" t="n"/>
      <c r="O362" s="44">
        <f>IF(OR(H362="",I362=""),"",H362*I362)</f>
        <v/>
      </c>
      <c r="P362" s="44">
        <f>IF(O362="","",O362*IFERROR(INDEX(Settings!$B$8:$B$15,MATCH(C362,Settings!$A$8:$A$15,0)),0))</f>
        <v/>
      </c>
      <c r="Q362" s="44">
        <f>IF(OR(G362="",H362=""),"",H362*IFERROR(INDEX(Products!$J$2:$J$101,MATCH(G362,Products!$A$2:$A$101,0)),0))</f>
        <v/>
      </c>
      <c r="R362" s="44">
        <f>IF(K362="Delivered",N(O362)+N(M362)-N(N362)-N(P362)-N(Q362),IF(OR(K362="Returned",K362="Failed delivery"),-N(N362),""))</f>
        <v/>
      </c>
      <c r="S362">
        <f>IF(E362="","",IF(MATCH(E362,$E$2:E362,0)&lt;ROWS($E$2:E362),"Repeat","New"))</f>
        <v/>
      </c>
      <c r="T362" s="34" t="n"/>
    </row>
    <row r="363">
      <c r="A363" s="34" t="n"/>
      <c r="B363" s="45" t="n"/>
      <c r="C363" s="34" t="n"/>
      <c r="D363" s="34" t="n"/>
      <c r="E363" s="47" t="n"/>
      <c r="F363" s="34" t="n"/>
      <c r="G363" s="34" t="n"/>
      <c r="H363" s="34" t="n"/>
      <c r="I363" s="36" t="n"/>
      <c r="J363" s="46">
        <f>IF(G363="","",IFERROR(INDEX(Products!$B$2:$B$101,MATCH(G363,Products!$A$2:$A$101,0)),"Unknown SKU"))</f>
        <v/>
      </c>
      <c r="K363" s="34" t="n"/>
      <c r="L363" s="34" t="n"/>
      <c r="M363" s="36" t="n"/>
      <c r="N363" s="36" t="n"/>
      <c r="O363" s="44">
        <f>IF(OR(H363="",I363=""),"",H363*I363)</f>
        <v/>
      </c>
      <c r="P363" s="44">
        <f>IF(O363="","",O363*IFERROR(INDEX(Settings!$B$8:$B$15,MATCH(C363,Settings!$A$8:$A$15,0)),0))</f>
        <v/>
      </c>
      <c r="Q363" s="44">
        <f>IF(OR(G363="",H363=""),"",H363*IFERROR(INDEX(Products!$J$2:$J$101,MATCH(G363,Products!$A$2:$A$101,0)),0))</f>
        <v/>
      </c>
      <c r="R363" s="44">
        <f>IF(K363="Delivered",N(O363)+N(M363)-N(N363)-N(P363)-N(Q363),IF(OR(K363="Returned",K363="Failed delivery"),-N(N363),""))</f>
        <v/>
      </c>
      <c r="S363">
        <f>IF(E363="","",IF(MATCH(E363,$E$2:E363,0)&lt;ROWS($E$2:E363),"Repeat","New"))</f>
        <v/>
      </c>
      <c r="T363" s="34" t="n"/>
    </row>
    <row r="364">
      <c r="A364" s="34" t="n"/>
      <c r="B364" s="45" t="n"/>
      <c r="C364" s="34" t="n"/>
      <c r="D364" s="34" t="n"/>
      <c r="E364" s="47" t="n"/>
      <c r="F364" s="34" t="n"/>
      <c r="G364" s="34" t="n"/>
      <c r="H364" s="34" t="n"/>
      <c r="I364" s="36" t="n"/>
      <c r="J364" s="46">
        <f>IF(G364="","",IFERROR(INDEX(Products!$B$2:$B$101,MATCH(G364,Products!$A$2:$A$101,0)),"Unknown SKU"))</f>
        <v/>
      </c>
      <c r="K364" s="34" t="n"/>
      <c r="L364" s="34" t="n"/>
      <c r="M364" s="36" t="n"/>
      <c r="N364" s="36" t="n"/>
      <c r="O364" s="44">
        <f>IF(OR(H364="",I364=""),"",H364*I364)</f>
        <v/>
      </c>
      <c r="P364" s="44">
        <f>IF(O364="","",O364*IFERROR(INDEX(Settings!$B$8:$B$15,MATCH(C364,Settings!$A$8:$A$15,0)),0))</f>
        <v/>
      </c>
      <c r="Q364" s="44">
        <f>IF(OR(G364="",H364=""),"",H364*IFERROR(INDEX(Products!$J$2:$J$101,MATCH(G364,Products!$A$2:$A$101,0)),0))</f>
        <v/>
      </c>
      <c r="R364" s="44">
        <f>IF(K364="Delivered",N(O364)+N(M364)-N(N364)-N(P364)-N(Q364),IF(OR(K364="Returned",K364="Failed delivery"),-N(N364),""))</f>
        <v/>
      </c>
      <c r="S364">
        <f>IF(E364="","",IF(MATCH(E364,$E$2:E364,0)&lt;ROWS($E$2:E364),"Repeat","New"))</f>
        <v/>
      </c>
      <c r="T364" s="34" t="n"/>
    </row>
    <row r="365">
      <c r="A365" s="34" t="n"/>
      <c r="B365" s="45" t="n"/>
      <c r="C365" s="34" t="n"/>
      <c r="D365" s="34" t="n"/>
      <c r="E365" s="47" t="n"/>
      <c r="F365" s="34" t="n"/>
      <c r="G365" s="34" t="n"/>
      <c r="H365" s="34" t="n"/>
      <c r="I365" s="36" t="n"/>
      <c r="J365" s="46">
        <f>IF(G365="","",IFERROR(INDEX(Products!$B$2:$B$101,MATCH(G365,Products!$A$2:$A$101,0)),"Unknown SKU"))</f>
        <v/>
      </c>
      <c r="K365" s="34" t="n"/>
      <c r="L365" s="34" t="n"/>
      <c r="M365" s="36" t="n"/>
      <c r="N365" s="36" t="n"/>
      <c r="O365" s="44">
        <f>IF(OR(H365="",I365=""),"",H365*I365)</f>
        <v/>
      </c>
      <c r="P365" s="44">
        <f>IF(O365="","",O365*IFERROR(INDEX(Settings!$B$8:$B$15,MATCH(C365,Settings!$A$8:$A$15,0)),0))</f>
        <v/>
      </c>
      <c r="Q365" s="44">
        <f>IF(OR(G365="",H365=""),"",H365*IFERROR(INDEX(Products!$J$2:$J$101,MATCH(G365,Products!$A$2:$A$101,0)),0))</f>
        <v/>
      </c>
      <c r="R365" s="44">
        <f>IF(K365="Delivered",N(O365)+N(M365)-N(N365)-N(P365)-N(Q365),IF(OR(K365="Returned",K365="Failed delivery"),-N(N365),""))</f>
        <v/>
      </c>
      <c r="S365">
        <f>IF(E365="","",IF(MATCH(E365,$E$2:E365,0)&lt;ROWS($E$2:E365),"Repeat","New"))</f>
        <v/>
      </c>
      <c r="T365" s="34" t="n"/>
    </row>
    <row r="366">
      <c r="A366" s="34" t="n"/>
      <c r="B366" s="45" t="n"/>
      <c r="C366" s="34" t="n"/>
      <c r="D366" s="34" t="n"/>
      <c r="E366" s="47" t="n"/>
      <c r="F366" s="34" t="n"/>
      <c r="G366" s="34" t="n"/>
      <c r="H366" s="34" t="n"/>
      <c r="I366" s="36" t="n"/>
      <c r="J366" s="46">
        <f>IF(G366="","",IFERROR(INDEX(Products!$B$2:$B$101,MATCH(G366,Products!$A$2:$A$101,0)),"Unknown SKU"))</f>
        <v/>
      </c>
      <c r="K366" s="34" t="n"/>
      <c r="L366" s="34" t="n"/>
      <c r="M366" s="36" t="n"/>
      <c r="N366" s="36" t="n"/>
      <c r="O366" s="44">
        <f>IF(OR(H366="",I366=""),"",H366*I366)</f>
        <v/>
      </c>
      <c r="P366" s="44">
        <f>IF(O366="","",O366*IFERROR(INDEX(Settings!$B$8:$B$15,MATCH(C366,Settings!$A$8:$A$15,0)),0))</f>
        <v/>
      </c>
      <c r="Q366" s="44">
        <f>IF(OR(G366="",H366=""),"",H366*IFERROR(INDEX(Products!$J$2:$J$101,MATCH(G366,Products!$A$2:$A$101,0)),0))</f>
        <v/>
      </c>
      <c r="R366" s="44">
        <f>IF(K366="Delivered",N(O366)+N(M366)-N(N366)-N(P366)-N(Q366),IF(OR(K366="Returned",K366="Failed delivery"),-N(N366),""))</f>
        <v/>
      </c>
      <c r="S366">
        <f>IF(E366="","",IF(MATCH(E366,$E$2:E366,0)&lt;ROWS($E$2:E366),"Repeat","New"))</f>
        <v/>
      </c>
      <c r="T366" s="34" t="n"/>
    </row>
    <row r="367">
      <c r="A367" s="34" t="n"/>
      <c r="B367" s="45" t="n"/>
      <c r="C367" s="34" t="n"/>
      <c r="D367" s="34" t="n"/>
      <c r="E367" s="47" t="n"/>
      <c r="F367" s="34" t="n"/>
      <c r="G367" s="34" t="n"/>
      <c r="H367" s="34" t="n"/>
      <c r="I367" s="36" t="n"/>
      <c r="J367" s="46">
        <f>IF(G367="","",IFERROR(INDEX(Products!$B$2:$B$101,MATCH(G367,Products!$A$2:$A$101,0)),"Unknown SKU"))</f>
        <v/>
      </c>
      <c r="K367" s="34" t="n"/>
      <c r="L367" s="34" t="n"/>
      <c r="M367" s="36" t="n"/>
      <c r="N367" s="36" t="n"/>
      <c r="O367" s="44">
        <f>IF(OR(H367="",I367=""),"",H367*I367)</f>
        <v/>
      </c>
      <c r="P367" s="44">
        <f>IF(O367="","",O367*IFERROR(INDEX(Settings!$B$8:$B$15,MATCH(C367,Settings!$A$8:$A$15,0)),0))</f>
        <v/>
      </c>
      <c r="Q367" s="44">
        <f>IF(OR(G367="",H367=""),"",H367*IFERROR(INDEX(Products!$J$2:$J$101,MATCH(G367,Products!$A$2:$A$101,0)),0))</f>
        <v/>
      </c>
      <c r="R367" s="44">
        <f>IF(K367="Delivered",N(O367)+N(M367)-N(N367)-N(P367)-N(Q367),IF(OR(K367="Returned",K367="Failed delivery"),-N(N367),""))</f>
        <v/>
      </c>
      <c r="S367">
        <f>IF(E367="","",IF(MATCH(E367,$E$2:E367,0)&lt;ROWS($E$2:E367),"Repeat","New"))</f>
        <v/>
      </c>
      <c r="T367" s="34" t="n"/>
    </row>
    <row r="368">
      <c r="A368" s="34" t="n"/>
      <c r="B368" s="45" t="n"/>
      <c r="C368" s="34" t="n"/>
      <c r="D368" s="34" t="n"/>
      <c r="E368" s="47" t="n"/>
      <c r="F368" s="34" t="n"/>
      <c r="G368" s="34" t="n"/>
      <c r="H368" s="34" t="n"/>
      <c r="I368" s="36" t="n"/>
      <c r="J368" s="46">
        <f>IF(G368="","",IFERROR(INDEX(Products!$B$2:$B$101,MATCH(G368,Products!$A$2:$A$101,0)),"Unknown SKU"))</f>
        <v/>
      </c>
      <c r="K368" s="34" t="n"/>
      <c r="L368" s="34" t="n"/>
      <c r="M368" s="36" t="n"/>
      <c r="N368" s="36" t="n"/>
      <c r="O368" s="44">
        <f>IF(OR(H368="",I368=""),"",H368*I368)</f>
        <v/>
      </c>
      <c r="P368" s="44">
        <f>IF(O368="","",O368*IFERROR(INDEX(Settings!$B$8:$B$15,MATCH(C368,Settings!$A$8:$A$15,0)),0))</f>
        <v/>
      </c>
      <c r="Q368" s="44">
        <f>IF(OR(G368="",H368=""),"",H368*IFERROR(INDEX(Products!$J$2:$J$101,MATCH(G368,Products!$A$2:$A$101,0)),0))</f>
        <v/>
      </c>
      <c r="R368" s="44">
        <f>IF(K368="Delivered",N(O368)+N(M368)-N(N368)-N(P368)-N(Q368),IF(OR(K368="Returned",K368="Failed delivery"),-N(N368),""))</f>
        <v/>
      </c>
      <c r="S368">
        <f>IF(E368="","",IF(MATCH(E368,$E$2:E368,0)&lt;ROWS($E$2:E368),"Repeat","New"))</f>
        <v/>
      </c>
      <c r="T368" s="34" t="n"/>
    </row>
    <row r="369">
      <c r="A369" s="34" t="n"/>
      <c r="B369" s="45" t="n"/>
      <c r="C369" s="34" t="n"/>
      <c r="D369" s="34" t="n"/>
      <c r="E369" s="47" t="n"/>
      <c r="F369" s="34" t="n"/>
      <c r="G369" s="34" t="n"/>
      <c r="H369" s="34" t="n"/>
      <c r="I369" s="36" t="n"/>
      <c r="J369" s="46">
        <f>IF(G369="","",IFERROR(INDEX(Products!$B$2:$B$101,MATCH(G369,Products!$A$2:$A$101,0)),"Unknown SKU"))</f>
        <v/>
      </c>
      <c r="K369" s="34" t="n"/>
      <c r="L369" s="34" t="n"/>
      <c r="M369" s="36" t="n"/>
      <c r="N369" s="36" t="n"/>
      <c r="O369" s="44">
        <f>IF(OR(H369="",I369=""),"",H369*I369)</f>
        <v/>
      </c>
      <c r="P369" s="44">
        <f>IF(O369="","",O369*IFERROR(INDEX(Settings!$B$8:$B$15,MATCH(C369,Settings!$A$8:$A$15,0)),0))</f>
        <v/>
      </c>
      <c r="Q369" s="44">
        <f>IF(OR(G369="",H369=""),"",H369*IFERROR(INDEX(Products!$J$2:$J$101,MATCH(G369,Products!$A$2:$A$101,0)),0))</f>
        <v/>
      </c>
      <c r="R369" s="44">
        <f>IF(K369="Delivered",N(O369)+N(M369)-N(N369)-N(P369)-N(Q369),IF(OR(K369="Returned",K369="Failed delivery"),-N(N369),""))</f>
        <v/>
      </c>
      <c r="S369">
        <f>IF(E369="","",IF(MATCH(E369,$E$2:E369,0)&lt;ROWS($E$2:E369),"Repeat","New"))</f>
        <v/>
      </c>
      <c r="T369" s="34" t="n"/>
    </row>
    <row r="370">
      <c r="A370" s="34" t="n"/>
      <c r="B370" s="45" t="n"/>
      <c r="C370" s="34" t="n"/>
      <c r="D370" s="34" t="n"/>
      <c r="E370" s="47" t="n"/>
      <c r="F370" s="34" t="n"/>
      <c r="G370" s="34" t="n"/>
      <c r="H370" s="34" t="n"/>
      <c r="I370" s="36" t="n"/>
      <c r="J370" s="46">
        <f>IF(G370="","",IFERROR(INDEX(Products!$B$2:$B$101,MATCH(G370,Products!$A$2:$A$101,0)),"Unknown SKU"))</f>
        <v/>
      </c>
      <c r="K370" s="34" t="n"/>
      <c r="L370" s="34" t="n"/>
      <c r="M370" s="36" t="n"/>
      <c r="N370" s="36" t="n"/>
      <c r="O370" s="44">
        <f>IF(OR(H370="",I370=""),"",H370*I370)</f>
        <v/>
      </c>
      <c r="P370" s="44">
        <f>IF(O370="","",O370*IFERROR(INDEX(Settings!$B$8:$B$15,MATCH(C370,Settings!$A$8:$A$15,0)),0))</f>
        <v/>
      </c>
      <c r="Q370" s="44">
        <f>IF(OR(G370="",H370=""),"",H370*IFERROR(INDEX(Products!$J$2:$J$101,MATCH(G370,Products!$A$2:$A$101,0)),0))</f>
        <v/>
      </c>
      <c r="R370" s="44">
        <f>IF(K370="Delivered",N(O370)+N(M370)-N(N370)-N(P370)-N(Q370),IF(OR(K370="Returned",K370="Failed delivery"),-N(N370),""))</f>
        <v/>
      </c>
      <c r="S370">
        <f>IF(E370="","",IF(MATCH(E370,$E$2:E370,0)&lt;ROWS($E$2:E370),"Repeat","New"))</f>
        <v/>
      </c>
      <c r="T370" s="34" t="n"/>
    </row>
    <row r="371">
      <c r="A371" s="34" t="n"/>
      <c r="B371" s="45" t="n"/>
      <c r="C371" s="34" t="n"/>
      <c r="D371" s="34" t="n"/>
      <c r="E371" s="47" t="n"/>
      <c r="F371" s="34" t="n"/>
      <c r="G371" s="34" t="n"/>
      <c r="H371" s="34" t="n"/>
      <c r="I371" s="36" t="n"/>
      <c r="J371" s="46">
        <f>IF(G371="","",IFERROR(INDEX(Products!$B$2:$B$101,MATCH(G371,Products!$A$2:$A$101,0)),"Unknown SKU"))</f>
        <v/>
      </c>
      <c r="K371" s="34" t="n"/>
      <c r="L371" s="34" t="n"/>
      <c r="M371" s="36" t="n"/>
      <c r="N371" s="36" t="n"/>
      <c r="O371" s="44">
        <f>IF(OR(H371="",I371=""),"",H371*I371)</f>
        <v/>
      </c>
      <c r="P371" s="44">
        <f>IF(O371="","",O371*IFERROR(INDEX(Settings!$B$8:$B$15,MATCH(C371,Settings!$A$8:$A$15,0)),0))</f>
        <v/>
      </c>
      <c r="Q371" s="44">
        <f>IF(OR(G371="",H371=""),"",H371*IFERROR(INDEX(Products!$J$2:$J$101,MATCH(G371,Products!$A$2:$A$101,0)),0))</f>
        <v/>
      </c>
      <c r="R371" s="44">
        <f>IF(K371="Delivered",N(O371)+N(M371)-N(N371)-N(P371)-N(Q371),IF(OR(K371="Returned",K371="Failed delivery"),-N(N371),""))</f>
        <v/>
      </c>
      <c r="S371">
        <f>IF(E371="","",IF(MATCH(E371,$E$2:E371,0)&lt;ROWS($E$2:E371),"Repeat","New"))</f>
        <v/>
      </c>
      <c r="T371" s="34" t="n"/>
    </row>
    <row r="372">
      <c r="A372" s="34" t="n"/>
      <c r="B372" s="45" t="n"/>
      <c r="C372" s="34" t="n"/>
      <c r="D372" s="34" t="n"/>
      <c r="E372" s="47" t="n"/>
      <c r="F372" s="34" t="n"/>
      <c r="G372" s="34" t="n"/>
      <c r="H372" s="34" t="n"/>
      <c r="I372" s="36" t="n"/>
      <c r="J372" s="46">
        <f>IF(G372="","",IFERROR(INDEX(Products!$B$2:$B$101,MATCH(G372,Products!$A$2:$A$101,0)),"Unknown SKU"))</f>
        <v/>
      </c>
      <c r="K372" s="34" t="n"/>
      <c r="L372" s="34" t="n"/>
      <c r="M372" s="36" t="n"/>
      <c r="N372" s="36" t="n"/>
      <c r="O372" s="44">
        <f>IF(OR(H372="",I372=""),"",H372*I372)</f>
        <v/>
      </c>
      <c r="P372" s="44">
        <f>IF(O372="","",O372*IFERROR(INDEX(Settings!$B$8:$B$15,MATCH(C372,Settings!$A$8:$A$15,0)),0))</f>
        <v/>
      </c>
      <c r="Q372" s="44">
        <f>IF(OR(G372="",H372=""),"",H372*IFERROR(INDEX(Products!$J$2:$J$101,MATCH(G372,Products!$A$2:$A$101,0)),0))</f>
        <v/>
      </c>
      <c r="R372" s="44">
        <f>IF(K372="Delivered",N(O372)+N(M372)-N(N372)-N(P372)-N(Q372),IF(OR(K372="Returned",K372="Failed delivery"),-N(N372),""))</f>
        <v/>
      </c>
      <c r="S372">
        <f>IF(E372="","",IF(MATCH(E372,$E$2:E372,0)&lt;ROWS($E$2:E372),"Repeat","New"))</f>
        <v/>
      </c>
      <c r="T372" s="34" t="n"/>
    </row>
    <row r="373">
      <c r="A373" s="34" t="n"/>
      <c r="B373" s="45" t="n"/>
      <c r="C373" s="34" t="n"/>
      <c r="D373" s="34" t="n"/>
      <c r="E373" s="47" t="n"/>
      <c r="F373" s="34" t="n"/>
      <c r="G373" s="34" t="n"/>
      <c r="H373" s="34" t="n"/>
      <c r="I373" s="36" t="n"/>
      <c r="J373" s="46">
        <f>IF(G373="","",IFERROR(INDEX(Products!$B$2:$B$101,MATCH(G373,Products!$A$2:$A$101,0)),"Unknown SKU"))</f>
        <v/>
      </c>
      <c r="K373" s="34" t="n"/>
      <c r="L373" s="34" t="n"/>
      <c r="M373" s="36" t="n"/>
      <c r="N373" s="36" t="n"/>
      <c r="O373" s="44">
        <f>IF(OR(H373="",I373=""),"",H373*I373)</f>
        <v/>
      </c>
      <c r="P373" s="44">
        <f>IF(O373="","",O373*IFERROR(INDEX(Settings!$B$8:$B$15,MATCH(C373,Settings!$A$8:$A$15,0)),0))</f>
        <v/>
      </c>
      <c r="Q373" s="44">
        <f>IF(OR(G373="",H373=""),"",H373*IFERROR(INDEX(Products!$J$2:$J$101,MATCH(G373,Products!$A$2:$A$101,0)),0))</f>
        <v/>
      </c>
      <c r="R373" s="44">
        <f>IF(K373="Delivered",N(O373)+N(M373)-N(N373)-N(P373)-N(Q373),IF(OR(K373="Returned",K373="Failed delivery"),-N(N373),""))</f>
        <v/>
      </c>
      <c r="S373">
        <f>IF(E373="","",IF(MATCH(E373,$E$2:E373,0)&lt;ROWS($E$2:E373),"Repeat","New"))</f>
        <v/>
      </c>
      <c r="T373" s="34" t="n"/>
    </row>
    <row r="374">
      <c r="A374" s="34" t="n"/>
      <c r="B374" s="45" t="n"/>
      <c r="C374" s="34" t="n"/>
      <c r="D374" s="34" t="n"/>
      <c r="E374" s="47" t="n"/>
      <c r="F374" s="34" t="n"/>
      <c r="G374" s="34" t="n"/>
      <c r="H374" s="34" t="n"/>
      <c r="I374" s="36" t="n"/>
      <c r="J374" s="46">
        <f>IF(G374="","",IFERROR(INDEX(Products!$B$2:$B$101,MATCH(G374,Products!$A$2:$A$101,0)),"Unknown SKU"))</f>
        <v/>
      </c>
      <c r="K374" s="34" t="n"/>
      <c r="L374" s="34" t="n"/>
      <c r="M374" s="36" t="n"/>
      <c r="N374" s="36" t="n"/>
      <c r="O374" s="44">
        <f>IF(OR(H374="",I374=""),"",H374*I374)</f>
        <v/>
      </c>
      <c r="P374" s="44">
        <f>IF(O374="","",O374*IFERROR(INDEX(Settings!$B$8:$B$15,MATCH(C374,Settings!$A$8:$A$15,0)),0))</f>
        <v/>
      </c>
      <c r="Q374" s="44">
        <f>IF(OR(G374="",H374=""),"",H374*IFERROR(INDEX(Products!$J$2:$J$101,MATCH(G374,Products!$A$2:$A$101,0)),0))</f>
        <v/>
      </c>
      <c r="R374" s="44">
        <f>IF(K374="Delivered",N(O374)+N(M374)-N(N374)-N(P374)-N(Q374),IF(OR(K374="Returned",K374="Failed delivery"),-N(N374),""))</f>
        <v/>
      </c>
      <c r="S374">
        <f>IF(E374="","",IF(MATCH(E374,$E$2:E374,0)&lt;ROWS($E$2:E374),"Repeat","New"))</f>
        <v/>
      </c>
      <c r="T374" s="34" t="n"/>
    </row>
    <row r="375">
      <c r="A375" s="34" t="n"/>
      <c r="B375" s="45" t="n"/>
      <c r="C375" s="34" t="n"/>
      <c r="D375" s="34" t="n"/>
      <c r="E375" s="47" t="n"/>
      <c r="F375" s="34" t="n"/>
      <c r="G375" s="34" t="n"/>
      <c r="H375" s="34" t="n"/>
      <c r="I375" s="36" t="n"/>
      <c r="J375" s="46">
        <f>IF(G375="","",IFERROR(INDEX(Products!$B$2:$B$101,MATCH(G375,Products!$A$2:$A$101,0)),"Unknown SKU"))</f>
        <v/>
      </c>
      <c r="K375" s="34" t="n"/>
      <c r="L375" s="34" t="n"/>
      <c r="M375" s="36" t="n"/>
      <c r="N375" s="36" t="n"/>
      <c r="O375" s="44">
        <f>IF(OR(H375="",I375=""),"",H375*I375)</f>
        <v/>
      </c>
      <c r="P375" s="44">
        <f>IF(O375="","",O375*IFERROR(INDEX(Settings!$B$8:$B$15,MATCH(C375,Settings!$A$8:$A$15,0)),0))</f>
        <v/>
      </c>
      <c r="Q375" s="44">
        <f>IF(OR(G375="",H375=""),"",H375*IFERROR(INDEX(Products!$J$2:$J$101,MATCH(G375,Products!$A$2:$A$101,0)),0))</f>
        <v/>
      </c>
      <c r="R375" s="44">
        <f>IF(K375="Delivered",N(O375)+N(M375)-N(N375)-N(P375)-N(Q375),IF(OR(K375="Returned",K375="Failed delivery"),-N(N375),""))</f>
        <v/>
      </c>
      <c r="S375">
        <f>IF(E375="","",IF(MATCH(E375,$E$2:E375,0)&lt;ROWS($E$2:E375),"Repeat","New"))</f>
        <v/>
      </c>
      <c r="T375" s="34" t="n"/>
    </row>
    <row r="376">
      <c r="A376" s="34" t="n"/>
      <c r="B376" s="45" t="n"/>
      <c r="C376" s="34" t="n"/>
      <c r="D376" s="34" t="n"/>
      <c r="E376" s="47" t="n"/>
      <c r="F376" s="34" t="n"/>
      <c r="G376" s="34" t="n"/>
      <c r="H376" s="34" t="n"/>
      <c r="I376" s="36" t="n"/>
      <c r="J376" s="46">
        <f>IF(G376="","",IFERROR(INDEX(Products!$B$2:$B$101,MATCH(G376,Products!$A$2:$A$101,0)),"Unknown SKU"))</f>
        <v/>
      </c>
      <c r="K376" s="34" t="n"/>
      <c r="L376" s="34" t="n"/>
      <c r="M376" s="36" t="n"/>
      <c r="N376" s="36" t="n"/>
      <c r="O376" s="44">
        <f>IF(OR(H376="",I376=""),"",H376*I376)</f>
        <v/>
      </c>
      <c r="P376" s="44">
        <f>IF(O376="","",O376*IFERROR(INDEX(Settings!$B$8:$B$15,MATCH(C376,Settings!$A$8:$A$15,0)),0))</f>
        <v/>
      </c>
      <c r="Q376" s="44">
        <f>IF(OR(G376="",H376=""),"",H376*IFERROR(INDEX(Products!$J$2:$J$101,MATCH(G376,Products!$A$2:$A$101,0)),0))</f>
        <v/>
      </c>
      <c r="R376" s="44">
        <f>IF(K376="Delivered",N(O376)+N(M376)-N(N376)-N(P376)-N(Q376),IF(OR(K376="Returned",K376="Failed delivery"),-N(N376),""))</f>
        <v/>
      </c>
      <c r="S376">
        <f>IF(E376="","",IF(MATCH(E376,$E$2:E376,0)&lt;ROWS($E$2:E376),"Repeat","New"))</f>
        <v/>
      </c>
      <c r="T376" s="34" t="n"/>
    </row>
    <row r="377">
      <c r="A377" s="34" t="n"/>
      <c r="B377" s="45" t="n"/>
      <c r="C377" s="34" t="n"/>
      <c r="D377" s="34" t="n"/>
      <c r="E377" s="47" t="n"/>
      <c r="F377" s="34" t="n"/>
      <c r="G377" s="34" t="n"/>
      <c r="H377" s="34" t="n"/>
      <c r="I377" s="36" t="n"/>
      <c r="J377" s="46">
        <f>IF(G377="","",IFERROR(INDEX(Products!$B$2:$B$101,MATCH(G377,Products!$A$2:$A$101,0)),"Unknown SKU"))</f>
        <v/>
      </c>
      <c r="K377" s="34" t="n"/>
      <c r="L377" s="34" t="n"/>
      <c r="M377" s="36" t="n"/>
      <c r="N377" s="36" t="n"/>
      <c r="O377" s="44">
        <f>IF(OR(H377="",I377=""),"",H377*I377)</f>
        <v/>
      </c>
      <c r="P377" s="44">
        <f>IF(O377="","",O377*IFERROR(INDEX(Settings!$B$8:$B$15,MATCH(C377,Settings!$A$8:$A$15,0)),0))</f>
        <v/>
      </c>
      <c r="Q377" s="44">
        <f>IF(OR(G377="",H377=""),"",H377*IFERROR(INDEX(Products!$J$2:$J$101,MATCH(G377,Products!$A$2:$A$101,0)),0))</f>
        <v/>
      </c>
      <c r="R377" s="44">
        <f>IF(K377="Delivered",N(O377)+N(M377)-N(N377)-N(P377)-N(Q377),IF(OR(K377="Returned",K377="Failed delivery"),-N(N377),""))</f>
        <v/>
      </c>
      <c r="S377">
        <f>IF(E377="","",IF(MATCH(E377,$E$2:E377,0)&lt;ROWS($E$2:E377),"Repeat","New"))</f>
        <v/>
      </c>
      <c r="T377" s="34" t="n"/>
    </row>
    <row r="378">
      <c r="A378" s="34" t="n"/>
      <c r="B378" s="45" t="n"/>
      <c r="C378" s="34" t="n"/>
      <c r="D378" s="34" t="n"/>
      <c r="E378" s="47" t="n"/>
      <c r="F378" s="34" t="n"/>
      <c r="G378" s="34" t="n"/>
      <c r="H378" s="34" t="n"/>
      <c r="I378" s="36" t="n"/>
      <c r="J378" s="46">
        <f>IF(G378="","",IFERROR(INDEX(Products!$B$2:$B$101,MATCH(G378,Products!$A$2:$A$101,0)),"Unknown SKU"))</f>
        <v/>
      </c>
      <c r="K378" s="34" t="n"/>
      <c r="L378" s="34" t="n"/>
      <c r="M378" s="36" t="n"/>
      <c r="N378" s="36" t="n"/>
      <c r="O378" s="44">
        <f>IF(OR(H378="",I378=""),"",H378*I378)</f>
        <v/>
      </c>
      <c r="P378" s="44">
        <f>IF(O378="","",O378*IFERROR(INDEX(Settings!$B$8:$B$15,MATCH(C378,Settings!$A$8:$A$15,0)),0))</f>
        <v/>
      </c>
      <c r="Q378" s="44">
        <f>IF(OR(G378="",H378=""),"",H378*IFERROR(INDEX(Products!$J$2:$J$101,MATCH(G378,Products!$A$2:$A$101,0)),0))</f>
        <v/>
      </c>
      <c r="R378" s="44">
        <f>IF(K378="Delivered",N(O378)+N(M378)-N(N378)-N(P378)-N(Q378),IF(OR(K378="Returned",K378="Failed delivery"),-N(N378),""))</f>
        <v/>
      </c>
      <c r="S378">
        <f>IF(E378="","",IF(MATCH(E378,$E$2:E378,0)&lt;ROWS($E$2:E378),"Repeat","New"))</f>
        <v/>
      </c>
      <c r="T378" s="34" t="n"/>
    </row>
    <row r="379">
      <c r="A379" s="34" t="n"/>
      <c r="B379" s="45" t="n"/>
      <c r="C379" s="34" t="n"/>
      <c r="D379" s="34" t="n"/>
      <c r="E379" s="47" t="n"/>
      <c r="F379" s="34" t="n"/>
      <c r="G379" s="34" t="n"/>
      <c r="H379" s="34" t="n"/>
      <c r="I379" s="36" t="n"/>
      <c r="J379" s="46">
        <f>IF(G379="","",IFERROR(INDEX(Products!$B$2:$B$101,MATCH(G379,Products!$A$2:$A$101,0)),"Unknown SKU"))</f>
        <v/>
      </c>
      <c r="K379" s="34" t="n"/>
      <c r="L379" s="34" t="n"/>
      <c r="M379" s="36" t="n"/>
      <c r="N379" s="36" t="n"/>
      <c r="O379" s="44">
        <f>IF(OR(H379="",I379=""),"",H379*I379)</f>
        <v/>
      </c>
      <c r="P379" s="44">
        <f>IF(O379="","",O379*IFERROR(INDEX(Settings!$B$8:$B$15,MATCH(C379,Settings!$A$8:$A$15,0)),0))</f>
        <v/>
      </c>
      <c r="Q379" s="44">
        <f>IF(OR(G379="",H379=""),"",H379*IFERROR(INDEX(Products!$J$2:$J$101,MATCH(G379,Products!$A$2:$A$101,0)),0))</f>
        <v/>
      </c>
      <c r="R379" s="44">
        <f>IF(K379="Delivered",N(O379)+N(M379)-N(N379)-N(P379)-N(Q379),IF(OR(K379="Returned",K379="Failed delivery"),-N(N379),""))</f>
        <v/>
      </c>
      <c r="S379">
        <f>IF(E379="","",IF(MATCH(E379,$E$2:E379,0)&lt;ROWS($E$2:E379),"Repeat","New"))</f>
        <v/>
      </c>
      <c r="T379" s="34" t="n"/>
    </row>
    <row r="380">
      <c r="A380" s="34" t="n"/>
      <c r="B380" s="45" t="n"/>
      <c r="C380" s="34" t="n"/>
      <c r="D380" s="34" t="n"/>
      <c r="E380" s="47" t="n"/>
      <c r="F380" s="34" t="n"/>
      <c r="G380" s="34" t="n"/>
      <c r="H380" s="34" t="n"/>
      <c r="I380" s="36" t="n"/>
      <c r="J380" s="46">
        <f>IF(G380="","",IFERROR(INDEX(Products!$B$2:$B$101,MATCH(G380,Products!$A$2:$A$101,0)),"Unknown SKU"))</f>
        <v/>
      </c>
      <c r="K380" s="34" t="n"/>
      <c r="L380" s="34" t="n"/>
      <c r="M380" s="36" t="n"/>
      <c r="N380" s="36" t="n"/>
      <c r="O380" s="44">
        <f>IF(OR(H380="",I380=""),"",H380*I380)</f>
        <v/>
      </c>
      <c r="P380" s="44">
        <f>IF(O380="","",O380*IFERROR(INDEX(Settings!$B$8:$B$15,MATCH(C380,Settings!$A$8:$A$15,0)),0))</f>
        <v/>
      </c>
      <c r="Q380" s="44">
        <f>IF(OR(G380="",H380=""),"",H380*IFERROR(INDEX(Products!$J$2:$J$101,MATCH(G380,Products!$A$2:$A$101,0)),0))</f>
        <v/>
      </c>
      <c r="R380" s="44">
        <f>IF(K380="Delivered",N(O380)+N(M380)-N(N380)-N(P380)-N(Q380),IF(OR(K380="Returned",K380="Failed delivery"),-N(N380),""))</f>
        <v/>
      </c>
      <c r="S380">
        <f>IF(E380="","",IF(MATCH(E380,$E$2:E380,0)&lt;ROWS($E$2:E380),"Repeat","New"))</f>
        <v/>
      </c>
      <c r="T380" s="34" t="n"/>
    </row>
    <row r="381">
      <c r="A381" s="34" t="n"/>
      <c r="B381" s="45" t="n"/>
      <c r="C381" s="34" t="n"/>
      <c r="D381" s="34" t="n"/>
      <c r="E381" s="47" t="n"/>
      <c r="F381" s="34" t="n"/>
      <c r="G381" s="34" t="n"/>
      <c r="H381" s="34" t="n"/>
      <c r="I381" s="36" t="n"/>
      <c r="J381" s="46">
        <f>IF(G381="","",IFERROR(INDEX(Products!$B$2:$B$101,MATCH(G381,Products!$A$2:$A$101,0)),"Unknown SKU"))</f>
        <v/>
      </c>
      <c r="K381" s="34" t="n"/>
      <c r="L381" s="34" t="n"/>
      <c r="M381" s="36" t="n"/>
      <c r="N381" s="36" t="n"/>
      <c r="O381" s="44">
        <f>IF(OR(H381="",I381=""),"",H381*I381)</f>
        <v/>
      </c>
      <c r="P381" s="44">
        <f>IF(O381="","",O381*IFERROR(INDEX(Settings!$B$8:$B$15,MATCH(C381,Settings!$A$8:$A$15,0)),0))</f>
        <v/>
      </c>
      <c r="Q381" s="44">
        <f>IF(OR(G381="",H381=""),"",H381*IFERROR(INDEX(Products!$J$2:$J$101,MATCH(G381,Products!$A$2:$A$101,0)),0))</f>
        <v/>
      </c>
      <c r="R381" s="44">
        <f>IF(K381="Delivered",N(O381)+N(M381)-N(N381)-N(P381)-N(Q381),IF(OR(K381="Returned",K381="Failed delivery"),-N(N381),""))</f>
        <v/>
      </c>
      <c r="S381">
        <f>IF(E381="","",IF(MATCH(E381,$E$2:E381,0)&lt;ROWS($E$2:E381),"Repeat","New"))</f>
        <v/>
      </c>
      <c r="T381" s="34" t="n"/>
    </row>
    <row r="382">
      <c r="A382" s="34" t="n"/>
      <c r="B382" s="45" t="n"/>
      <c r="C382" s="34" t="n"/>
      <c r="D382" s="34" t="n"/>
      <c r="E382" s="47" t="n"/>
      <c r="F382" s="34" t="n"/>
      <c r="G382" s="34" t="n"/>
      <c r="H382" s="34" t="n"/>
      <c r="I382" s="36" t="n"/>
      <c r="J382" s="46">
        <f>IF(G382="","",IFERROR(INDEX(Products!$B$2:$B$101,MATCH(G382,Products!$A$2:$A$101,0)),"Unknown SKU"))</f>
        <v/>
      </c>
      <c r="K382" s="34" t="n"/>
      <c r="L382" s="34" t="n"/>
      <c r="M382" s="36" t="n"/>
      <c r="N382" s="36" t="n"/>
      <c r="O382" s="44">
        <f>IF(OR(H382="",I382=""),"",H382*I382)</f>
        <v/>
      </c>
      <c r="P382" s="44">
        <f>IF(O382="","",O382*IFERROR(INDEX(Settings!$B$8:$B$15,MATCH(C382,Settings!$A$8:$A$15,0)),0))</f>
        <v/>
      </c>
      <c r="Q382" s="44">
        <f>IF(OR(G382="",H382=""),"",H382*IFERROR(INDEX(Products!$J$2:$J$101,MATCH(G382,Products!$A$2:$A$101,0)),0))</f>
        <v/>
      </c>
      <c r="R382" s="44">
        <f>IF(K382="Delivered",N(O382)+N(M382)-N(N382)-N(P382)-N(Q382),IF(OR(K382="Returned",K382="Failed delivery"),-N(N382),""))</f>
        <v/>
      </c>
      <c r="S382">
        <f>IF(E382="","",IF(MATCH(E382,$E$2:E382,0)&lt;ROWS($E$2:E382),"Repeat","New"))</f>
        <v/>
      </c>
      <c r="T382" s="34" t="n"/>
    </row>
    <row r="383">
      <c r="A383" s="34" t="n"/>
      <c r="B383" s="45" t="n"/>
      <c r="C383" s="34" t="n"/>
      <c r="D383" s="34" t="n"/>
      <c r="E383" s="47" t="n"/>
      <c r="F383" s="34" t="n"/>
      <c r="G383" s="34" t="n"/>
      <c r="H383" s="34" t="n"/>
      <c r="I383" s="36" t="n"/>
      <c r="J383" s="46">
        <f>IF(G383="","",IFERROR(INDEX(Products!$B$2:$B$101,MATCH(G383,Products!$A$2:$A$101,0)),"Unknown SKU"))</f>
        <v/>
      </c>
      <c r="K383" s="34" t="n"/>
      <c r="L383" s="34" t="n"/>
      <c r="M383" s="36" t="n"/>
      <c r="N383" s="36" t="n"/>
      <c r="O383" s="44">
        <f>IF(OR(H383="",I383=""),"",H383*I383)</f>
        <v/>
      </c>
      <c r="P383" s="44">
        <f>IF(O383="","",O383*IFERROR(INDEX(Settings!$B$8:$B$15,MATCH(C383,Settings!$A$8:$A$15,0)),0))</f>
        <v/>
      </c>
      <c r="Q383" s="44">
        <f>IF(OR(G383="",H383=""),"",H383*IFERROR(INDEX(Products!$J$2:$J$101,MATCH(G383,Products!$A$2:$A$101,0)),0))</f>
        <v/>
      </c>
      <c r="R383" s="44">
        <f>IF(K383="Delivered",N(O383)+N(M383)-N(N383)-N(P383)-N(Q383),IF(OR(K383="Returned",K383="Failed delivery"),-N(N383),""))</f>
        <v/>
      </c>
      <c r="S383">
        <f>IF(E383="","",IF(MATCH(E383,$E$2:E383,0)&lt;ROWS($E$2:E383),"Repeat","New"))</f>
        <v/>
      </c>
      <c r="T383" s="34" t="n"/>
    </row>
    <row r="384">
      <c r="A384" s="34" t="n"/>
      <c r="B384" s="45" t="n"/>
      <c r="C384" s="34" t="n"/>
      <c r="D384" s="34" t="n"/>
      <c r="E384" s="47" t="n"/>
      <c r="F384" s="34" t="n"/>
      <c r="G384" s="34" t="n"/>
      <c r="H384" s="34" t="n"/>
      <c r="I384" s="36" t="n"/>
      <c r="J384" s="46">
        <f>IF(G384="","",IFERROR(INDEX(Products!$B$2:$B$101,MATCH(G384,Products!$A$2:$A$101,0)),"Unknown SKU"))</f>
        <v/>
      </c>
      <c r="K384" s="34" t="n"/>
      <c r="L384" s="34" t="n"/>
      <c r="M384" s="36" t="n"/>
      <c r="N384" s="36" t="n"/>
      <c r="O384" s="44">
        <f>IF(OR(H384="",I384=""),"",H384*I384)</f>
        <v/>
      </c>
      <c r="P384" s="44">
        <f>IF(O384="","",O384*IFERROR(INDEX(Settings!$B$8:$B$15,MATCH(C384,Settings!$A$8:$A$15,0)),0))</f>
        <v/>
      </c>
      <c r="Q384" s="44">
        <f>IF(OR(G384="",H384=""),"",H384*IFERROR(INDEX(Products!$J$2:$J$101,MATCH(G384,Products!$A$2:$A$101,0)),0))</f>
        <v/>
      </c>
      <c r="R384" s="44">
        <f>IF(K384="Delivered",N(O384)+N(M384)-N(N384)-N(P384)-N(Q384),IF(OR(K384="Returned",K384="Failed delivery"),-N(N384),""))</f>
        <v/>
      </c>
      <c r="S384">
        <f>IF(E384="","",IF(MATCH(E384,$E$2:E384,0)&lt;ROWS($E$2:E384),"Repeat","New"))</f>
        <v/>
      </c>
      <c r="T384" s="34" t="n"/>
    </row>
    <row r="385">
      <c r="A385" s="34" t="n"/>
      <c r="B385" s="45" t="n"/>
      <c r="C385" s="34" t="n"/>
      <c r="D385" s="34" t="n"/>
      <c r="E385" s="47" t="n"/>
      <c r="F385" s="34" t="n"/>
      <c r="G385" s="34" t="n"/>
      <c r="H385" s="34" t="n"/>
      <c r="I385" s="36" t="n"/>
      <c r="J385" s="46">
        <f>IF(G385="","",IFERROR(INDEX(Products!$B$2:$B$101,MATCH(G385,Products!$A$2:$A$101,0)),"Unknown SKU"))</f>
        <v/>
      </c>
      <c r="K385" s="34" t="n"/>
      <c r="L385" s="34" t="n"/>
      <c r="M385" s="36" t="n"/>
      <c r="N385" s="36" t="n"/>
      <c r="O385" s="44">
        <f>IF(OR(H385="",I385=""),"",H385*I385)</f>
        <v/>
      </c>
      <c r="P385" s="44">
        <f>IF(O385="","",O385*IFERROR(INDEX(Settings!$B$8:$B$15,MATCH(C385,Settings!$A$8:$A$15,0)),0))</f>
        <v/>
      </c>
      <c r="Q385" s="44">
        <f>IF(OR(G385="",H385=""),"",H385*IFERROR(INDEX(Products!$J$2:$J$101,MATCH(G385,Products!$A$2:$A$101,0)),0))</f>
        <v/>
      </c>
      <c r="R385" s="44">
        <f>IF(K385="Delivered",N(O385)+N(M385)-N(N385)-N(P385)-N(Q385),IF(OR(K385="Returned",K385="Failed delivery"),-N(N385),""))</f>
        <v/>
      </c>
      <c r="S385">
        <f>IF(E385="","",IF(MATCH(E385,$E$2:E385,0)&lt;ROWS($E$2:E385),"Repeat","New"))</f>
        <v/>
      </c>
      <c r="T385" s="34" t="n"/>
    </row>
    <row r="386">
      <c r="A386" s="34" t="n"/>
      <c r="B386" s="45" t="n"/>
      <c r="C386" s="34" t="n"/>
      <c r="D386" s="34" t="n"/>
      <c r="E386" s="47" t="n"/>
      <c r="F386" s="34" t="n"/>
      <c r="G386" s="34" t="n"/>
      <c r="H386" s="34" t="n"/>
      <c r="I386" s="36" t="n"/>
      <c r="J386" s="46">
        <f>IF(G386="","",IFERROR(INDEX(Products!$B$2:$B$101,MATCH(G386,Products!$A$2:$A$101,0)),"Unknown SKU"))</f>
        <v/>
      </c>
      <c r="K386" s="34" t="n"/>
      <c r="L386" s="34" t="n"/>
      <c r="M386" s="36" t="n"/>
      <c r="N386" s="36" t="n"/>
      <c r="O386" s="44">
        <f>IF(OR(H386="",I386=""),"",H386*I386)</f>
        <v/>
      </c>
      <c r="P386" s="44">
        <f>IF(O386="","",O386*IFERROR(INDEX(Settings!$B$8:$B$15,MATCH(C386,Settings!$A$8:$A$15,0)),0))</f>
        <v/>
      </c>
      <c r="Q386" s="44">
        <f>IF(OR(G386="",H386=""),"",H386*IFERROR(INDEX(Products!$J$2:$J$101,MATCH(G386,Products!$A$2:$A$101,0)),0))</f>
        <v/>
      </c>
      <c r="R386" s="44">
        <f>IF(K386="Delivered",N(O386)+N(M386)-N(N386)-N(P386)-N(Q386),IF(OR(K386="Returned",K386="Failed delivery"),-N(N386),""))</f>
        <v/>
      </c>
      <c r="S386">
        <f>IF(E386="","",IF(MATCH(E386,$E$2:E386,0)&lt;ROWS($E$2:E386),"Repeat","New"))</f>
        <v/>
      </c>
      <c r="T386" s="34" t="n"/>
    </row>
    <row r="387">
      <c r="A387" s="34" t="n"/>
      <c r="B387" s="45" t="n"/>
      <c r="C387" s="34" t="n"/>
      <c r="D387" s="34" t="n"/>
      <c r="E387" s="47" t="n"/>
      <c r="F387" s="34" t="n"/>
      <c r="G387" s="34" t="n"/>
      <c r="H387" s="34" t="n"/>
      <c r="I387" s="36" t="n"/>
      <c r="J387" s="46">
        <f>IF(G387="","",IFERROR(INDEX(Products!$B$2:$B$101,MATCH(G387,Products!$A$2:$A$101,0)),"Unknown SKU"))</f>
        <v/>
      </c>
      <c r="K387" s="34" t="n"/>
      <c r="L387" s="34" t="n"/>
      <c r="M387" s="36" t="n"/>
      <c r="N387" s="36" t="n"/>
      <c r="O387" s="44">
        <f>IF(OR(H387="",I387=""),"",H387*I387)</f>
        <v/>
      </c>
      <c r="P387" s="44">
        <f>IF(O387="","",O387*IFERROR(INDEX(Settings!$B$8:$B$15,MATCH(C387,Settings!$A$8:$A$15,0)),0))</f>
        <v/>
      </c>
      <c r="Q387" s="44">
        <f>IF(OR(G387="",H387=""),"",H387*IFERROR(INDEX(Products!$J$2:$J$101,MATCH(G387,Products!$A$2:$A$101,0)),0))</f>
        <v/>
      </c>
      <c r="R387" s="44">
        <f>IF(K387="Delivered",N(O387)+N(M387)-N(N387)-N(P387)-N(Q387),IF(OR(K387="Returned",K387="Failed delivery"),-N(N387),""))</f>
        <v/>
      </c>
      <c r="S387">
        <f>IF(E387="","",IF(MATCH(E387,$E$2:E387,0)&lt;ROWS($E$2:E387),"Repeat","New"))</f>
        <v/>
      </c>
      <c r="T387" s="34" t="n"/>
    </row>
    <row r="388">
      <c r="A388" s="34" t="n"/>
      <c r="B388" s="45" t="n"/>
      <c r="C388" s="34" t="n"/>
      <c r="D388" s="34" t="n"/>
      <c r="E388" s="47" t="n"/>
      <c r="F388" s="34" t="n"/>
      <c r="G388" s="34" t="n"/>
      <c r="H388" s="34" t="n"/>
      <c r="I388" s="36" t="n"/>
      <c r="J388" s="46">
        <f>IF(G388="","",IFERROR(INDEX(Products!$B$2:$B$101,MATCH(G388,Products!$A$2:$A$101,0)),"Unknown SKU"))</f>
        <v/>
      </c>
      <c r="K388" s="34" t="n"/>
      <c r="L388" s="34" t="n"/>
      <c r="M388" s="36" t="n"/>
      <c r="N388" s="36" t="n"/>
      <c r="O388" s="44">
        <f>IF(OR(H388="",I388=""),"",H388*I388)</f>
        <v/>
      </c>
      <c r="P388" s="44">
        <f>IF(O388="","",O388*IFERROR(INDEX(Settings!$B$8:$B$15,MATCH(C388,Settings!$A$8:$A$15,0)),0))</f>
        <v/>
      </c>
      <c r="Q388" s="44">
        <f>IF(OR(G388="",H388=""),"",H388*IFERROR(INDEX(Products!$J$2:$J$101,MATCH(G388,Products!$A$2:$A$101,0)),0))</f>
        <v/>
      </c>
      <c r="R388" s="44">
        <f>IF(K388="Delivered",N(O388)+N(M388)-N(N388)-N(P388)-N(Q388),IF(OR(K388="Returned",K388="Failed delivery"),-N(N388),""))</f>
        <v/>
      </c>
      <c r="S388">
        <f>IF(E388="","",IF(MATCH(E388,$E$2:E388,0)&lt;ROWS($E$2:E388),"Repeat","New"))</f>
        <v/>
      </c>
      <c r="T388" s="34" t="n"/>
    </row>
    <row r="389">
      <c r="A389" s="34" t="n"/>
      <c r="B389" s="45" t="n"/>
      <c r="C389" s="34" t="n"/>
      <c r="D389" s="34" t="n"/>
      <c r="E389" s="47" t="n"/>
      <c r="F389" s="34" t="n"/>
      <c r="G389" s="34" t="n"/>
      <c r="H389" s="34" t="n"/>
      <c r="I389" s="36" t="n"/>
      <c r="J389" s="46">
        <f>IF(G389="","",IFERROR(INDEX(Products!$B$2:$B$101,MATCH(G389,Products!$A$2:$A$101,0)),"Unknown SKU"))</f>
        <v/>
      </c>
      <c r="K389" s="34" t="n"/>
      <c r="L389" s="34" t="n"/>
      <c r="M389" s="36" t="n"/>
      <c r="N389" s="36" t="n"/>
      <c r="O389" s="44">
        <f>IF(OR(H389="",I389=""),"",H389*I389)</f>
        <v/>
      </c>
      <c r="P389" s="44">
        <f>IF(O389="","",O389*IFERROR(INDEX(Settings!$B$8:$B$15,MATCH(C389,Settings!$A$8:$A$15,0)),0))</f>
        <v/>
      </c>
      <c r="Q389" s="44">
        <f>IF(OR(G389="",H389=""),"",H389*IFERROR(INDEX(Products!$J$2:$J$101,MATCH(G389,Products!$A$2:$A$101,0)),0))</f>
        <v/>
      </c>
      <c r="R389" s="44">
        <f>IF(K389="Delivered",N(O389)+N(M389)-N(N389)-N(P389)-N(Q389),IF(OR(K389="Returned",K389="Failed delivery"),-N(N389),""))</f>
        <v/>
      </c>
      <c r="S389">
        <f>IF(E389="","",IF(MATCH(E389,$E$2:E389,0)&lt;ROWS($E$2:E389),"Repeat","New"))</f>
        <v/>
      </c>
      <c r="T389" s="34" t="n"/>
    </row>
    <row r="390">
      <c r="A390" s="34" t="n"/>
      <c r="B390" s="45" t="n"/>
      <c r="C390" s="34" t="n"/>
      <c r="D390" s="34" t="n"/>
      <c r="E390" s="47" t="n"/>
      <c r="F390" s="34" t="n"/>
      <c r="G390" s="34" t="n"/>
      <c r="H390" s="34" t="n"/>
      <c r="I390" s="36" t="n"/>
      <c r="J390" s="46">
        <f>IF(G390="","",IFERROR(INDEX(Products!$B$2:$B$101,MATCH(G390,Products!$A$2:$A$101,0)),"Unknown SKU"))</f>
        <v/>
      </c>
      <c r="K390" s="34" t="n"/>
      <c r="L390" s="34" t="n"/>
      <c r="M390" s="36" t="n"/>
      <c r="N390" s="36" t="n"/>
      <c r="O390" s="44">
        <f>IF(OR(H390="",I390=""),"",H390*I390)</f>
        <v/>
      </c>
      <c r="P390" s="44">
        <f>IF(O390="","",O390*IFERROR(INDEX(Settings!$B$8:$B$15,MATCH(C390,Settings!$A$8:$A$15,0)),0))</f>
        <v/>
      </c>
      <c r="Q390" s="44">
        <f>IF(OR(G390="",H390=""),"",H390*IFERROR(INDEX(Products!$J$2:$J$101,MATCH(G390,Products!$A$2:$A$101,0)),0))</f>
        <v/>
      </c>
      <c r="R390" s="44">
        <f>IF(K390="Delivered",N(O390)+N(M390)-N(N390)-N(P390)-N(Q390),IF(OR(K390="Returned",K390="Failed delivery"),-N(N390),""))</f>
        <v/>
      </c>
      <c r="S390">
        <f>IF(E390="","",IF(MATCH(E390,$E$2:E390,0)&lt;ROWS($E$2:E390),"Repeat","New"))</f>
        <v/>
      </c>
      <c r="T390" s="34" t="n"/>
    </row>
    <row r="391">
      <c r="A391" s="34" t="n"/>
      <c r="B391" s="45" t="n"/>
      <c r="C391" s="34" t="n"/>
      <c r="D391" s="34" t="n"/>
      <c r="E391" s="47" t="n"/>
      <c r="F391" s="34" t="n"/>
      <c r="G391" s="34" t="n"/>
      <c r="H391" s="34" t="n"/>
      <c r="I391" s="36" t="n"/>
      <c r="J391" s="46">
        <f>IF(G391="","",IFERROR(INDEX(Products!$B$2:$B$101,MATCH(G391,Products!$A$2:$A$101,0)),"Unknown SKU"))</f>
        <v/>
      </c>
      <c r="K391" s="34" t="n"/>
      <c r="L391" s="34" t="n"/>
      <c r="M391" s="36" t="n"/>
      <c r="N391" s="36" t="n"/>
      <c r="O391" s="44">
        <f>IF(OR(H391="",I391=""),"",H391*I391)</f>
        <v/>
      </c>
      <c r="P391" s="44">
        <f>IF(O391="","",O391*IFERROR(INDEX(Settings!$B$8:$B$15,MATCH(C391,Settings!$A$8:$A$15,0)),0))</f>
        <v/>
      </c>
      <c r="Q391" s="44">
        <f>IF(OR(G391="",H391=""),"",H391*IFERROR(INDEX(Products!$J$2:$J$101,MATCH(G391,Products!$A$2:$A$101,0)),0))</f>
        <v/>
      </c>
      <c r="R391" s="44">
        <f>IF(K391="Delivered",N(O391)+N(M391)-N(N391)-N(P391)-N(Q391),IF(OR(K391="Returned",K391="Failed delivery"),-N(N391),""))</f>
        <v/>
      </c>
      <c r="S391">
        <f>IF(E391="","",IF(MATCH(E391,$E$2:E391,0)&lt;ROWS($E$2:E391),"Repeat","New"))</f>
        <v/>
      </c>
      <c r="T391" s="34" t="n"/>
    </row>
    <row r="392">
      <c r="A392" s="34" t="n"/>
      <c r="B392" s="45" t="n"/>
      <c r="C392" s="34" t="n"/>
      <c r="D392" s="34" t="n"/>
      <c r="E392" s="47" t="n"/>
      <c r="F392" s="34" t="n"/>
      <c r="G392" s="34" t="n"/>
      <c r="H392" s="34" t="n"/>
      <c r="I392" s="36" t="n"/>
      <c r="J392" s="46">
        <f>IF(G392="","",IFERROR(INDEX(Products!$B$2:$B$101,MATCH(G392,Products!$A$2:$A$101,0)),"Unknown SKU"))</f>
        <v/>
      </c>
      <c r="K392" s="34" t="n"/>
      <c r="L392" s="34" t="n"/>
      <c r="M392" s="36" t="n"/>
      <c r="N392" s="36" t="n"/>
      <c r="O392" s="44">
        <f>IF(OR(H392="",I392=""),"",H392*I392)</f>
        <v/>
      </c>
      <c r="P392" s="44">
        <f>IF(O392="","",O392*IFERROR(INDEX(Settings!$B$8:$B$15,MATCH(C392,Settings!$A$8:$A$15,0)),0))</f>
        <v/>
      </c>
      <c r="Q392" s="44">
        <f>IF(OR(G392="",H392=""),"",H392*IFERROR(INDEX(Products!$J$2:$J$101,MATCH(G392,Products!$A$2:$A$101,0)),0))</f>
        <v/>
      </c>
      <c r="R392" s="44">
        <f>IF(K392="Delivered",N(O392)+N(M392)-N(N392)-N(P392)-N(Q392),IF(OR(K392="Returned",K392="Failed delivery"),-N(N392),""))</f>
        <v/>
      </c>
      <c r="S392">
        <f>IF(E392="","",IF(MATCH(E392,$E$2:E392,0)&lt;ROWS($E$2:E392),"Repeat","New"))</f>
        <v/>
      </c>
      <c r="T392" s="34" t="n"/>
    </row>
    <row r="393">
      <c r="A393" s="34" t="n"/>
      <c r="B393" s="45" t="n"/>
      <c r="C393" s="34" t="n"/>
      <c r="D393" s="34" t="n"/>
      <c r="E393" s="47" t="n"/>
      <c r="F393" s="34" t="n"/>
      <c r="G393" s="34" t="n"/>
      <c r="H393" s="34" t="n"/>
      <c r="I393" s="36" t="n"/>
      <c r="J393" s="46">
        <f>IF(G393="","",IFERROR(INDEX(Products!$B$2:$B$101,MATCH(G393,Products!$A$2:$A$101,0)),"Unknown SKU"))</f>
        <v/>
      </c>
      <c r="K393" s="34" t="n"/>
      <c r="L393" s="34" t="n"/>
      <c r="M393" s="36" t="n"/>
      <c r="N393" s="36" t="n"/>
      <c r="O393" s="44">
        <f>IF(OR(H393="",I393=""),"",H393*I393)</f>
        <v/>
      </c>
      <c r="P393" s="44">
        <f>IF(O393="","",O393*IFERROR(INDEX(Settings!$B$8:$B$15,MATCH(C393,Settings!$A$8:$A$15,0)),0))</f>
        <v/>
      </c>
      <c r="Q393" s="44">
        <f>IF(OR(G393="",H393=""),"",H393*IFERROR(INDEX(Products!$J$2:$J$101,MATCH(G393,Products!$A$2:$A$101,0)),0))</f>
        <v/>
      </c>
      <c r="R393" s="44">
        <f>IF(K393="Delivered",N(O393)+N(M393)-N(N393)-N(P393)-N(Q393),IF(OR(K393="Returned",K393="Failed delivery"),-N(N393),""))</f>
        <v/>
      </c>
      <c r="S393">
        <f>IF(E393="","",IF(MATCH(E393,$E$2:E393,0)&lt;ROWS($E$2:E393),"Repeat","New"))</f>
        <v/>
      </c>
      <c r="T393" s="34" t="n"/>
    </row>
    <row r="394">
      <c r="A394" s="34" t="n"/>
      <c r="B394" s="45" t="n"/>
      <c r="C394" s="34" t="n"/>
      <c r="D394" s="34" t="n"/>
      <c r="E394" s="47" t="n"/>
      <c r="F394" s="34" t="n"/>
      <c r="G394" s="34" t="n"/>
      <c r="H394" s="34" t="n"/>
      <c r="I394" s="36" t="n"/>
      <c r="J394" s="46">
        <f>IF(G394="","",IFERROR(INDEX(Products!$B$2:$B$101,MATCH(G394,Products!$A$2:$A$101,0)),"Unknown SKU"))</f>
        <v/>
      </c>
      <c r="K394" s="34" t="n"/>
      <c r="L394" s="34" t="n"/>
      <c r="M394" s="36" t="n"/>
      <c r="N394" s="36" t="n"/>
      <c r="O394" s="44">
        <f>IF(OR(H394="",I394=""),"",H394*I394)</f>
        <v/>
      </c>
      <c r="P394" s="44">
        <f>IF(O394="","",O394*IFERROR(INDEX(Settings!$B$8:$B$15,MATCH(C394,Settings!$A$8:$A$15,0)),0))</f>
        <v/>
      </c>
      <c r="Q394" s="44">
        <f>IF(OR(G394="",H394=""),"",H394*IFERROR(INDEX(Products!$J$2:$J$101,MATCH(G394,Products!$A$2:$A$101,0)),0))</f>
        <v/>
      </c>
      <c r="R394" s="44">
        <f>IF(K394="Delivered",N(O394)+N(M394)-N(N394)-N(P394)-N(Q394),IF(OR(K394="Returned",K394="Failed delivery"),-N(N394),""))</f>
        <v/>
      </c>
      <c r="S394">
        <f>IF(E394="","",IF(MATCH(E394,$E$2:E394,0)&lt;ROWS($E$2:E394),"Repeat","New"))</f>
        <v/>
      </c>
      <c r="T394" s="34" t="n"/>
    </row>
    <row r="395">
      <c r="A395" s="34" t="n"/>
      <c r="B395" s="45" t="n"/>
      <c r="C395" s="34" t="n"/>
      <c r="D395" s="34" t="n"/>
      <c r="E395" s="47" t="n"/>
      <c r="F395" s="34" t="n"/>
      <c r="G395" s="34" t="n"/>
      <c r="H395" s="34" t="n"/>
      <c r="I395" s="36" t="n"/>
      <c r="J395" s="46">
        <f>IF(G395="","",IFERROR(INDEX(Products!$B$2:$B$101,MATCH(G395,Products!$A$2:$A$101,0)),"Unknown SKU"))</f>
        <v/>
      </c>
      <c r="K395" s="34" t="n"/>
      <c r="L395" s="34" t="n"/>
      <c r="M395" s="36" t="n"/>
      <c r="N395" s="36" t="n"/>
      <c r="O395" s="44">
        <f>IF(OR(H395="",I395=""),"",H395*I395)</f>
        <v/>
      </c>
      <c r="P395" s="44">
        <f>IF(O395="","",O395*IFERROR(INDEX(Settings!$B$8:$B$15,MATCH(C395,Settings!$A$8:$A$15,0)),0))</f>
        <v/>
      </c>
      <c r="Q395" s="44">
        <f>IF(OR(G395="",H395=""),"",H395*IFERROR(INDEX(Products!$J$2:$J$101,MATCH(G395,Products!$A$2:$A$101,0)),0))</f>
        <v/>
      </c>
      <c r="R395" s="44">
        <f>IF(K395="Delivered",N(O395)+N(M395)-N(N395)-N(P395)-N(Q395),IF(OR(K395="Returned",K395="Failed delivery"),-N(N395),""))</f>
        <v/>
      </c>
      <c r="S395">
        <f>IF(E395="","",IF(MATCH(E395,$E$2:E395,0)&lt;ROWS($E$2:E395),"Repeat","New"))</f>
        <v/>
      </c>
      <c r="T395" s="34" t="n"/>
    </row>
    <row r="396">
      <c r="A396" s="34" t="n"/>
      <c r="B396" s="45" t="n"/>
      <c r="C396" s="34" t="n"/>
      <c r="D396" s="34" t="n"/>
      <c r="E396" s="47" t="n"/>
      <c r="F396" s="34" t="n"/>
      <c r="G396" s="34" t="n"/>
      <c r="H396" s="34" t="n"/>
      <c r="I396" s="36" t="n"/>
      <c r="J396" s="46">
        <f>IF(G396="","",IFERROR(INDEX(Products!$B$2:$B$101,MATCH(G396,Products!$A$2:$A$101,0)),"Unknown SKU"))</f>
        <v/>
      </c>
      <c r="K396" s="34" t="n"/>
      <c r="L396" s="34" t="n"/>
      <c r="M396" s="36" t="n"/>
      <c r="N396" s="36" t="n"/>
      <c r="O396" s="44">
        <f>IF(OR(H396="",I396=""),"",H396*I396)</f>
        <v/>
      </c>
      <c r="P396" s="44">
        <f>IF(O396="","",O396*IFERROR(INDEX(Settings!$B$8:$B$15,MATCH(C396,Settings!$A$8:$A$15,0)),0))</f>
        <v/>
      </c>
      <c r="Q396" s="44">
        <f>IF(OR(G396="",H396=""),"",H396*IFERROR(INDEX(Products!$J$2:$J$101,MATCH(G396,Products!$A$2:$A$101,0)),0))</f>
        <v/>
      </c>
      <c r="R396" s="44">
        <f>IF(K396="Delivered",N(O396)+N(M396)-N(N396)-N(P396)-N(Q396),IF(OR(K396="Returned",K396="Failed delivery"),-N(N396),""))</f>
        <v/>
      </c>
      <c r="S396">
        <f>IF(E396="","",IF(MATCH(E396,$E$2:E396,0)&lt;ROWS($E$2:E396),"Repeat","New"))</f>
        <v/>
      </c>
      <c r="T396" s="34" t="n"/>
    </row>
    <row r="397">
      <c r="A397" s="34" t="n"/>
      <c r="B397" s="45" t="n"/>
      <c r="C397" s="34" t="n"/>
      <c r="D397" s="34" t="n"/>
      <c r="E397" s="47" t="n"/>
      <c r="F397" s="34" t="n"/>
      <c r="G397" s="34" t="n"/>
      <c r="H397" s="34" t="n"/>
      <c r="I397" s="36" t="n"/>
      <c r="J397" s="46">
        <f>IF(G397="","",IFERROR(INDEX(Products!$B$2:$B$101,MATCH(G397,Products!$A$2:$A$101,0)),"Unknown SKU"))</f>
        <v/>
      </c>
      <c r="K397" s="34" t="n"/>
      <c r="L397" s="34" t="n"/>
      <c r="M397" s="36" t="n"/>
      <c r="N397" s="36" t="n"/>
      <c r="O397" s="44">
        <f>IF(OR(H397="",I397=""),"",H397*I397)</f>
        <v/>
      </c>
      <c r="P397" s="44">
        <f>IF(O397="","",O397*IFERROR(INDEX(Settings!$B$8:$B$15,MATCH(C397,Settings!$A$8:$A$15,0)),0))</f>
        <v/>
      </c>
      <c r="Q397" s="44">
        <f>IF(OR(G397="",H397=""),"",H397*IFERROR(INDEX(Products!$J$2:$J$101,MATCH(G397,Products!$A$2:$A$101,0)),0))</f>
        <v/>
      </c>
      <c r="R397" s="44">
        <f>IF(K397="Delivered",N(O397)+N(M397)-N(N397)-N(P397)-N(Q397),IF(OR(K397="Returned",K397="Failed delivery"),-N(N397),""))</f>
        <v/>
      </c>
      <c r="S397">
        <f>IF(E397="","",IF(MATCH(E397,$E$2:E397,0)&lt;ROWS($E$2:E397),"Repeat","New"))</f>
        <v/>
      </c>
      <c r="T397" s="34" t="n"/>
    </row>
    <row r="398">
      <c r="A398" s="34" t="n"/>
      <c r="B398" s="45" t="n"/>
      <c r="C398" s="34" t="n"/>
      <c r="D398" s="34" t="n"/>
      <c r="E398" s="47" t="n"/>
      <c r="F398" s="34" t="n"/>
      <c r="G398" s="34" t="n"/>
      <c r="H398" s="34" t="n"/>
      <c r="I398" s="36" t="n"/>
      <c r="J398" s="46">
        <f>IF(G398="","",IFERROR(INDEX(Products!$B$2:$B$101,MATCH(G398,Products!$A$2:$A$101,0)),"Unknown SKU"))</f>
        <v/>
      </c>
      <c r="K398" s="34" t="n"/>
      <c r="L398" s="34" t="n"/>
      <c r="M398" s="36" t="n"/>
      <c r="N398" s="36" t="n"/>
      <c r="O398" s="44">
        <f>IF(OR(H398="",I398=""),"",H398*I398)</f>
        <v/>
      </c>
      <c r="P398" s="44">
        <f>IF(O398="","",O398*IFERROR(INDEX(Settings!$B$8:$B$15,MATCH(C398,Settings!$A$8:$A$15,0)),0))</f>
        <v/>
      </c>
      <c r="Q398" s="44">
        <f>IF(OR(G398="",H398=""),"",H398*IFERROR(INDEX(Products!$J$2:$J$101,MATCH(G398,Products!$A$2:$A$101,0)),0))</f>
        <v/>
      </c>
      <c r="R398" s="44">
        <f>IF(K398="Delivered",N(O398)+N(M398)-N(N398)-N(P398)-N(Q398),IF(OR(K398="Returned",K398="Failed delivery"),-N(N398),""))</f>
        <v/>
      </c>
      <c r="S398">
        <f>IF(E398="","",IF(MATCH(E398,$E$2:E398,0)&lt;ROWS($E$2:E398),"Repeat","New"))</f>
        <v/>
      </c>
      <c r="T398" s="34" t="n"/>
    </row>
    <row r="399">
      <c r="A399" s="34" t="n"/>
      <c r="B399" s="45" t="n"/>
      <c r="C399" s="34" t="n"/>
      <c r="D399" s="34" t="n"/>
      <c r="E399" s="47" t="n"/>
      <c r="F399" s="34" t="n"/>
      <c r="G399" s="34" t="n"/>
      <c r="H399" s="34" t="n"/>
      <c r="I399" s="36" t="n"/>
      <c r="J399" s="46">
        <f>IF(G399="","",IFERROR(INDEX(Products!$B$2:$B$101,MATCH(G399,Products!$A$2:$A$101,0)),"Unknown SKU"))</f>
        <v/>
      </c>
      <c r="K399" s="34" t="n"/>
      <c r="L399" s="34" t="n"/>
      <c r="M399" s="36" t="n"/>
      <c r="N399" s="36" t="n"/>
      <c r="O399" s="44">
        <f>IF(OR(H399="",I399=""),"",H399*I399)</f>
        <v/>
      </c>
      <c r="P399" s="44">
        <f>IF(O399="","",O399*IFERROR(INDEX(Settings!$B$8:$B$15,MATCH(C399,Settings!$A$8:$A$15,0)),0))</f>
        <v/>
      </c>
      <c r="Q399" s="44">
        <f>IF(OR(G399="",H399=""),"",H399*IFERROR(INDEX(Products!$J$2:$J$101,MATCH(G399,Products!$A$2:$A$101,0)),0))</f>
        <v/>
      </c>
      <c r="R399" s="44">
        <f>IF(K399="Delivered",N(O399)+N(M399)-N(N399)-N(P399)-N(Q399),IF(OR(K399="Returned",K399="Failed delivery"),-N(N399),""))</f>
        <v/>
      </c>
      <c r="S399">
        <f>IF(E399="","",IF(MATCH(E399,$E$2:E399,0)&lt;ROWS($E$2:E399),"Repeat","New"))</f>
        <v/>
      </c>
      <c r="T399" s="34" t="n"/>
    </row>
    <row r="400">
      <c r="A400" s="34" t="n"/>
      <c r="B400" s="45" t="n"/>
      <c r="C400" s="34" t="n"/>
      <c r="D400" s="34" t="n"/>
      <c r="E400" s="47" t="n"/>
      <c r="F400" s="34" t="n"/>
      <c r="G400" s="34" t="n"/>
      <c r="H400" s="34" t="n"/>
      <c r="I400" s="36" t="n"/>
      <c r="J400" s="46">
        <f>IF(G400="","",IFERROR(INDEX(Products!$B$2:$B$101,MATCH(G400,Products!$A$2:$A$101,0)),"Unknown SKU"))</f>
        <v/>
      </c>
      <c r="K400" s="34" t="n"/>
      <c r="L400" s="34" t="n"/>
      <c r="M400" s="36" t="n"/>
      <c r="N400" s="36" t="n"/>
      <c r="O400" s="44">
        <f>IF(OR(H400="",I400=""),"",H400*I400)</f>
        <v/>
      </c>
      <c r="P400" s="44">
        <f>IF(O400="","",O400*IFERROR(INDEX(Settings!$B$8:$B$15,MATCH(C400,Settings!$A$8:$A$15,0)),0))</f>
        <v/>
      </c>
      <c r="Q400" s="44">
        <f>IF(OR(G400="",H400=""),"",H400*IFERROR(INDEX(Products!$J$2:$J$101,MATCH(G400,Products!$A$2:$A$101,0)),0))</f>
        <v/>
      </c>
      <c r="R400" s="44">
        <f>IF(K400="Delivered",N(O400)+N(M400)-N(N400)-N(P400)-N(Q400),IF(OR(K400="Returned",K400="Failed delivery"),-N(N400),""))</f>
        <v/>
      </c>
      <c r="S400">
        <f>IF(E400="","",IF(MATCH(E400,$E$2:E400,0)&lt;ROWS($E$2:E400),"Repeat","New"))</f>
        <v/>
      </c>
      <c r="T400" s="34" t="n"/>
    </row>
    <row r="401">
      <c r="A401" s="34" t="n"/>
      <c r="B401" s="45" t="n"/>
      <c r="C401" s="34" t="n"/>
      <c r="D401" s="34" t="n"/>
      <c r="E401" s="47" t="n"/>
      <c r="F401" s="34" t="n"/>
      <c r="G401" s="34" t="n"/>
      <c r="H401" s="34" t="n"/>
      <c r="I401" s="36" t="n"/>
      <c r="J401" s="46">
        <f>IF(G401="","",IFERROR(INDEX(Products!$B$2:$B$101,MATCH(G401,Products!$A$2:$A$101,0)),"Unknown SKU"))</f>
        <v/>
      </c>
      <c r="K401" s="34" t="n"/>
      <c r="L401" s="34" t="n"/>
      <c r="M401" s="36" t="n"/>
      <c r="N401" s="36" t="n"/>
      <c r="O401" s="44">
        <f>IF(OR(H401="",I401=""),"",H401*I401)</f>
        <v/>
      </c>
      <c r="P401" s="44">
        <f>IF(O401="","",O401*IFERROR(INDEX(Settings!$B$8:$B$15,MATCH(C401,Settings!$A$8:$A$15,0)),0))</f>
        <v/>
      </c>
      <c r="Q401" s="44">
        <f>IF(OR(G401="",H401=""),"",H401*IFERROR(INDEX(Products!$J$2:$J$101,MATCH(G401,Products!$A$2:$A$101,0)),0))</f>
        <v/>
      </c>
      <c r="R401" s="44">
        <f>IF(K401="Delivered",N(O401)+N(M401)-N(N401)-N(P401)-N(Q401),IF(OR(K401="Returned",K401="Failed delivery"),-N(N401),""))</f>
        <v/>
      </c>
      <c r="S401">
        <f>IF(E401="","",IF(MATCH(E401,$E$2:E401,0)&lt;ROWS($E$2:E401),"Repeat","New"))</f>
        <v/>
      </c>
      <c r="T401" s="34" t="n"/>
    </row>
    <row r="402">
      <c r="A402" s="34" t="n"/>
      <c r="B402" s="45" t="n"/>
      <c r="C402" s="34" t="n"/>
      <c r="D402" s="34" t="n"/>
      <c r="E402" s="47" t="n"/>
      <c r="F402" s="34" t="n"/>
      <c r="G402" s="34" t="n"/>
      <c r="H402" s="34" t="n"/>
      <c r="I402" s="36" t="n"/>
      <c r="J402" s="46">
        <f>IF(G402="","",IFERROR(INDEX(Products!$B$2:$B$101,MATCH(G402,Products!$A$2:$A$101,0)),"Unknown SKU"))</f>
        <v/>
      </c>
      <c r="K402" s="34" t="n"/>
      <c r="L402" s="34" t="n"/>
      <c r="M402" s="36" t="n"/>
      <c r="N402" s="36" t="n"/>
      <c r="O402" s="44">
        <f>IF(OR(H402="",I402=""),"",H402*I402)</f>
        <v/>
      </c>
      <c r="P402" s="44">
        <f>IF(O402="","",O402*IFERROR(INDEX(Settings!$B$8:$B$15,MATCH(C402,Settings!$A$8:$A$15,0)),0))</f>
        <v/>
      </c>
      <c r="Q402" s="44">
        <f>IF(OR(G402="",H402=""),"",H402*IFERROR(INDEX(Products!$J$2:$J$101,MATCH(G402,Products!$A$2:$A$101,0)),0))</f>
        <v/>
      </c>
      <c r="R402" s="44">
        <f>IF(K402="Delivered",N(O402)+N(M402)-N(N402)-N(P402)-N(Q402),IF(OR(K402="Returned",K402="Failed delivery"),-N(N402),""))</f>
        <v/>
      </c>
      <c r="S402">
        <f>IF(E402="","",IF(MATCH(E402,$E$2:E402,0)&lt;ROWS($E$2:E402),"Repeat","New"))</f>
        <v/>
      </c>
      <c r="T402" s="34" t="n"/>
    </row>
    <row r="403">
      <c r="A403" s="34" t="n"/>
      <c r="B403" s="45" t="n"/>
      <c r="C403" s="34" t="n"/>
      <c r="D403" s="34" t="n"/>
      <c r="E403" s="47" t="n"/>
      <c r="F403" s="34" t="n"/>
      <c r="G403" s="34" t="n"/>
      <c r="H403" s="34" t="n"/>
      <c r="I403" s="36" t="n"/>
      <c r="J403" s="46">
        <f>IF(G403="","",IFERROR(INDEX(Products!$B$2:$B$101,MATCH(G403,Products!$A$2:$A$101,0)),"Unknown SKU"))</f>
        <v/>
      </c>
      <c r="K403" s="34" t="n"/>
      <c r="L403" s="34" t="n"/>
      <c r="M403" s="36" t="n"/>
      <c r="N403" s="36" t="n"/>
      <c r="O403" s="44">
        <f>IF(OR(H403="",I403=""),"",H403*I403)</f>
        <v/>
      </c>
      <c r="P403" s="44">
        <f>IF(O403="","",O403*IFERROR(INDEX(Settings!$B$8:$B$15,MATCH(C403,Settings!$A$8:$A$15,0)),0))</f>
        <v/>
      </c>
      <c r="Q403" s="44">
        <f>IF(OR(G403="",H403=""),"",H403*IFERROR(INDEX(Products!$J$2:$J$101,MATCH(G403,Products!$A$2:$A$101,0)),0))</f>
        <v/>
      </c>
      <c r="R403" s="44">
        <f>IF(K403="Delivered",N(O403)+N(M403)-N(N403)-N(P403)-N(Q403),IF(OR(K403="Returned",K403="Failed delivery"),-N(N403),""))</f>
        <v/>
      </c>
      <c r="S403">
        <f>IF(E403="","",IF(MATCH(E403,$E$2:E403,0)&lt;ROWS($E$2:E403),"Repeat","New"))</f>
        <v/>
      </c>
      <c r="T403" s="34" t="n"/>
    </row>
    <row r="404">
      <c r="A404" s="34" t="n"/>
      <c r="B404" s="45" t="n"/>
      <c r="C404" s="34" t="n"/>
      <c r="D404" s="34" t="n"/>
      <c r="E404" s="47" t="n"/>
      <c r="F404" s="34" t="n"/>
      <c r="G404" s="34" t="n"/>
      <c r="H404" s="34" t="n"/>
      <c r="I404" s="36" t="n"/>
      <c r="J404" s="46">
        <f>IF(G404="","",IFERROR(INDEX(Products!$B$2:$B$101,MATCH(G404,Products!$A$2:$A$101,0)),"Unknown SKU"))</f>
        <v/>
      </c>
      <c r="K404" s="34" t="n"/>
      <c r="L404" s="34" t="n"/>
      <c r="M404" s="36" t="n"/>
      <c r="N404" s="36" t="n"/>
      <c r="O404" s="44">
        <f>IF(OR(H404="",I404=""),"",H404*I404)</f>
        <v/>
      </c>
      <c r="P404" s="44">
        <f>IF(O404="","",O404*IFERROR(INDEX(Settings!$B$8:$B$15,MATCH(C404,Settings!$A$8:$A$15,0)),0))</f>
        <v/>
      </c>
      <c r="Q404" s="44">
        <f>IF(OR(G404="",H404=""),"",H404*IFERROR(INDEX(Products!$J$2:$J$101,MATCH(G404,Products!$A$2:$A$101,0)),0))</f>
        <v/>
      </c>
      <c r="R404" s="44">
        <f>IF(K404="Delivered",N(O404)+N(M404)-N(N404)-N(P404)-N(Q404),IF(OR(K404="Returned",K404="Failed delivery"),-N(N404),""))</f>
        <v/>
      </c>
      <c r="S404">
        <f>IF(E404="","",IF(MATCH(E404,$E$2:E404,0)&lt;ROWS($E$2:E404),"Repeat","New"))</f>
        <v/>
      </c>
      <c r="T404" s="34" t="n"/>
    </row>
    <row r="405">
      <c r="A405" s="34" t="n"/>
      <c r="B405" s="45" t="n"/>
      <c r="C405" s="34" t="n"/>
      <c r="D405" s="34" t="n"/>
      <c r="E405" s="47" t="n"/>
      <c r="F405" s="34" t="n"/>
      <c r="G405" s="34" t="n"/>
      <c r="H405" s="34" t="n"/>
      <c r="I405" s="36" t="n"/>
      <c r="J405" s="46">
        <f>IF(G405="","",IFERROR(INDEX(Products!$B$2:$B$101,MATCH(G405,Products!$A$2:$A$101,0)),"Unknown SKU"))</f>
        <v/>
      </c>
      <c r="K405" s="34" t="n"/>
      <c r="L405" s="34" t="n"/>
      <c r="M405" s="36" t="n"/>
      <c r="N405" s="36" t="n"/>
      <c r="O405" s="44">
        <f>IF(OR(H405="",I405=""),"",H405*I405)</f>
        <v/>
      </c>
      <c r="P405" s="44">
        <f>IF(O405="","",O405*IFERROR(INDEX(Settings!$B$8:$B$15,MATCH(C405,Settings!$A$8:$A$15,0)),0))</f>
        <v/>
      </c>
      <c r="Q405" s="44">
        <f>IF(OR(G405="",H405=""),"",H405*IFERROR(INDEX(Products!$J$2:$J$101,MATCH(G405,Products!$A$2:$A$101,0)),0))</f>
        <v/>
      </c>
      <c r="R405" s="44">
        <f>IF(K405="Delivered",N(O405)+N(M405)-N(N405)-N(P405)-N(Q405),IF(OR(K405="Returned",K405="Failed delivery"),-N(N405),""))</f>
        <v/>
      </c>
      <c r="S405">
        <f>IF(E405="","",IF(MATCH(E405,$E$2:E405,0)&lt;ROWS($E$2:E405),"Repeat","New"))</f>
        <v/>
      </c>
      <c r="T405" s="34" t="n"/>
    </row>
    <row r="406">
      <c r="A406" s="34" t="n"/>
      <c r="B406" s="45" t="n"/>
      <c r="C406" s="34" t="n"/>
      <c r="D406" s="34" t="n"/>
      <c r="E406" s="47" t="n"/>
      <c r="F406" s="34" t="n"/>
      <c r="G406" s="34" t="n"/>
      <c r="H406" s="34" t="n"/>
      <c r="I406" s="36" t="n"/>
      <c r="J406" s="46">
        <f>IF(G406="","",IFERROR(INDEX(Products!$B$2:$B$101,MATCH(G406,Products!$A$2:$A$101,0)),"Unknown SKU"))</f>
        <v/>
      </c>
      <c r="K406" s="34" t="n"/>
      <c r="L406" s="34" t="n"/>
      <c r="M406" s="36" t="n"/>
      <c r="N406" s="36" t="n"/>
      <c r="O406" s="44">
        <f>IF(OR(H406="",I406=""),"",H406*I406)</f>
        <v/>
      </c>
      <c r="P406" s="44">
        <f>IF(O406="","",O406*IFERROR(INDEX(Settings!$B$8:$B$15,MATCH(C406,Settings!$A$8:$A$15,0)),0))</f>
        <v/>
      </c>
      <c r="Q406" s="44">
        <f>IF(OR(G406="",H406=""),"",H406*IFERROR(INDEX(Products!$J$2:$J$101,MATCH(G406,Products!$A$2:$A$101,0)),0))</f>
        <v/>
      </c>
      <c r="R406" s="44">
        <f>IF(K406="Delivered",N(O406)+N(M406)-N(N406)-N(P406)-N(Q406),IF(OR(K406="Returned",K406="Failed delivery"),-N(N406),""))</f>
        <v/>
      </c>
      <c r="S406">
        <f>IF(E406="","",IF(MATCH(E406,$E$2:E406,0)&lt;ROWS($E$2:E406),"Repeat","New"))</f>
        <v/>
      </c>
      <c r="T406" s="34" t="n"/>
    </row>
    <row r="407">
      <c r="A407" s="34" t="n"/>
      <c r="B407" s="45" t="n"/>
      <c r="C407" s="34" t="n"/>
      <c r="D407" s="34" t="n"/>
      <c r="E407" s="47" t="n"/>
      <c r="F407" s="34" t="n"/>
      <c r="G407" s="34" t="n"/>
      <c r="H407" s="34" t="n"/>
      <c r="I407" s="36" t="n"/>
      <c r="J407" s="46">
        <f>IF(G407="","",IFERROR(INDEX(Products!$B$2:$B$101,MATCH(G407,Products!$A$2:$A$101,0)),"Unknown SKU"))</f>
        <v/>
      </c>
      <c r="K407" s="34" t="n"/>
      <c r="L407" s="34" t="n"/>
      <c r="M407" s="36" t="n"/>
      <c r="N407" s="36" t="n"/>
      <c r="O407" s="44">
        <f>IF(OR(H407="",I407=""),"",H407*I407)</f>
        <v/>
      </c>
      <c r="P407" s="44">
        <f>IF(O407="","",O407*IFERROR(INDEX(Settings!$B$8:$B$15,MATCH(C407,Settings!$A$8:$A$15,0)),0))</f>
        <v/>
      </c>
      <c r="Q407" s="44">
        <f>IF(OR(G407="",H407=""),"",H407*IFERROR(INDEX(Products!$J$2:$J$101,MATCH(G407,Products!$A$2:$A$101,0)),0))</f>
        <v/>
      </c>
      <c r="R407" s="44">
        <f>IF(K407="Delivered",N(O407)+N(M407)-N(N407)-N(P407)-N(Q407),IF(OR(K407="Returned",K407="Failed delivery"),-N(N407),""))</f>
        <v/>
      </c>
      <c r="S407">
        <f>IF(E407="","",IF(MATCH(E407,$E$2:E407,0)&lt;ROWS($E$2:E407),"Repeat","New"))</f>
        <v/>
      </c>
      <c r="T407" s="34" t="n"/>
    </row>
    <row r="408">
      <c r="A408" s="34" t="n"/>
      <c r="B408" s="45" t="n"/>
      <c r="C408" s="34" t="n"/>
      <c r="D408" s="34" t="n"/>
      <c r="E408" s="47" t="n"/>
      <c r="F408" s="34" t="n"/>
      <c r="G408" s="34" t="n"/>
      <c r="H408" s="34" t="n"/>
      <c r="I408" s="36" t="n"/>
      <c r="J408" s="46">
        <f>IF(G408="","",IFERROR(INDEX(Products!$B$2:$B$101,MATCH(G408,Products!$A$2:$A$101,0)),"Unknown SKU"))</f>
        <v/>
      </c>
      <c r="K408" s="34" t="n"/>
      <c r="L408" s="34" t="n"/>
      <c r="M408" s="36" t="n"/>
      <c r="N408" s="36" t="n"/>
      <c r="O408" s="44">
        <f>IF(OR(H408="",I408=""),"",H408*I408)</f>
        <v/>
      </c>
      <c r="P408" s="44">
        <f>IF(O408="","",O408*IFERROR(INDEX(Settings!$B$8:$B$15,MATCH(C408,Settings!$A$8:$A$15,0)),0))</f>
        <v/>
      </c>
      <c r="Q408" s="44">
        <f>IF(OR(G408="",H408=""),"",H408*IFERROR(INDEX(Products!$J$2:$J$101,MATCH(G408,Products!$A$2:$A$101,0)),0))</f>
        <v/>
      </c>
      <c r="R408" s="44">
        <f>IF(K408="Delivered",N(O408)+N(M408)-N(N408)-N(P408)-N(Q408),IF(OR(K408="Returned",K408="Failed delivery"),-N(N408),""))</f>
        <v/>
      </c>
      <c r="S408">
        <f>IF(E408="","",IF(MATCH(E408,$E$2:E408,0)&lt;ROWS($E$2:E408),"Repeat","New"))</f>
        <v/>
      </c>
      <c r="T408" s="34" t="n"/>
    </row>
    <row r="409">
      <c r="A409" s="34" t="n"/>
      <c r="B409" s="45" t="n"/>
      <c r="C409" s="34" t="n"/>
      <c r="D409" s="34" t="n"/>
      <c r="E409" s="47" t="n"/>
      <c r="F409" s="34" t="n"/>
      <c r="G409" s="34" t="n"/>
      <c r="H409" s="34" t="n"/>
      <c r="I409" s="36" t="n"/>
      <c r="J409" s="46">
        <f>IF(G409="","",IFERROR(INDEX(Products!$B$2:$B$101,MATCH(G409,Products!$A$2:$A$101,0)),"Unknown SKU"))</f>
        <v/>
      </c>
      <c r="K409" s="34" t="n"/>
      <c r="L409" s="34" t="n"/>
      <c r="M409" s="36" t="n"/>
      <c r="N409" s="36" t="n"/>
      <c r="O409" s="44">
        <f>IF(OR(H409="",I409=""),"",H409*I409)</f>
        <v/>
      </c>
      <c r="P409" s="44">
        <f>IF(O409="","",O409*IFERROR(INDEX(Settings!$B$8:$B$15,MATCH(C409,Settings!$A$8:$A$15,0)),0))</f>
        <v/>
      </c>
      <c r="Q409" s="44">
        <f>IF(OR(G409="",H409=""),"",H409*IFERROR(INDEX(Products!$J$2:$J$101,MATCH(G409,Products!$A$2:$A$101,0)),0))</f>
        <v/>
      </c>
      <c r="R409" s="44">
        <f>IF(K409="Delivered",N(O409)+N(M409)-N(N409)-N(P409)-N(Q409),IF(OR(K409="Returned",K409="Failed delivery"),-N(N409),""))</f>
        <v/>
      </c>
      <c r="S409">
        <f>IF(E409="","",IF(MATCH(E409,$E$2:E409,0)&lt;ROWS($E$2:E409),"Repeat","New"))</f>
        <v/>
      </c>
      <c r="T409" s="34" t="n"/>
    </row>
    <row r="410">
      <c r="A410" s="34" t="n"/>
      <c r="B410" s="45" t="n"/>
      <c r="C410" s="34" t="n"/>
      <c r="D410" s="34" t="n"/>
      <c r="E410" s="47" t="n"/>
      <c r="F410" s="34" t="n"/>
      <c r="G410" s="34" t="n"/>
      <c r="H410" s="34" t="n"/>
      <c r="I410" s="36" t="n"/>
      <c r="J410" s="46">
        <f>IF(G410="","",IFERROR(INDEX(Products!$B$2:$B$101,MATCH(G410,Products!$A$2:$A$101,0)),"Unknown SKU"))</f>
        <v/>
      </c>
      <c r="K410" s="34" t="n"/>
      <c r="L410" s="34" t="n"/>
      <c r="M410" s="36" t="n"/>
      <c r="N410" s="36" t="n"/>
      <c r="O410" s="44">
        <f>IF(OR(H410="",I410=""),"",H410*I410)</f>
        <v/>
      </c>
      <c r="P410" s="44">
        <f>IF(O410="","",O410*IFERROR(INDEX(Settings!$B$8:$B$15,MATCH(C410,Settings!$A$8:$A$15,0)),0))</f>
        <v/>
      </c>
      <c r="Q410" s="44">
        <f>IF(OR(G410="",H410=""),"",H410*IFERROR(INDEX(Products!$J$2:$J$101,MATCH(G410,Products!$A$2:$A$101,0)),0))</f>
        <v/>
      </c>
      <c r="R410" s="44">
        <f>IF(K410="Delivered",N(O410)+N(M410)-N(N410)-N(P410)-N(Q410),IF(OR(K410="Returned",K410="Failed delivery"),-N(N410),""))</f>
        <v/>
      </c>
      <c r="S410">
        <f>IF(E410="","",IF(MATCH(E410,$E$2:E410,0)&lt;ROWS($E$2:E410),"Repeat","New"))</f>
        <v/>
      </c>
      <c r="T410" s="34" t="n"/>
    </row>
    <row r="411">
      <c r="A411" s="34" t="n"/>
      <c r="B411" s="45" t="n"/>
      <c r="C411" s="34" t="n"/>
      <c r="D411" s="34" t="n"/>
      <c r="E411" s="47" t="n"/>
      <c r="F411" s="34" t="n"/>
      <c r="G411" s="34" t="n"/>
      <c r="H411" s="34" t="n"/>
      <c r="I411" s="36" t="n"/>
      <c r="J411" s="46">
        <f>IF(G411="","",IFERROR(INDEX(Products!$B$2:$B$101,MATCH(G411,Products!$A$2:$A$101,0)),"Unknown SKU"))</f>
        <v/>
      </c>
      <c r="K411" s="34" t="n"/>
      <c r="L411" s="34" t="n"/>
      <c r="M411" s="36" t="n"/>
      <c r="N411" s="36" t="n"/>
      <c r="O411" s="44">
        <f>IF(OR(H411="",I411=""),"",H411*I411)</f>
        <v/>
      </c>
      <c r="P411" s="44">
        <f>IF(O411="","",O411*IFERROR(INDEX(Settings!$B$8:$B$15,MATCH(C411,Settings!$A$8:$A$15,0)),0))</f>
        <v/>
      </c>
      <c r="Q411" s="44">
        <f>IF(OR(G411="",H411=""),"",H411*IFERROR(INDEX(Products!$J$2:$J$101,MATCH(G411,Products!$A$2:$A$101,0)),0))</f>
        <v/>
      </c>
      <c r="R411" s="44">
        <f>IF(K411="Delivered",N(O411)+N(M411)-N(N411)-N(P411)-N(Q411),IF(OR(K411="Returned",K411="Failed delivery"),-N(N411),""))</f>
        <v/>
      </c>
      <c r="S411">
        <f>IF(E411="","",IF(MATCH(E411,$E$2:E411,0)&lt;ROWS($E$2:E411),"Repeat","New"))</f>
        <v/>
      </c>
      <c r="T411" s="34" t="n"/>
    </row>
    <row r="412">
      <c r="A412" s="34" t="n"/>
      <c r="B412" s="45" t="n"/>
      <c r="C412" s="34" t="n"/>
      <c r="D412" s="34" t="n"/>
      <c r="E412" s="47" t="n"/>
      <c r="F412" s="34" t="n"/>
      <c r="G412" s="34" t="n"/>
      <c r="H412" s="34" t="n"/>
      <c r="I412" s="36" t="n"/>
      <c r="J412" s="46">
        <f>IF(G412="","",IFERROR(INDEX(Products!$B$2:$B$101,MATCH(G412,Products!$A$2:$A$101,0)),"Unknown SKU"))</f>
        <v/>
      </c>
      <c r="K412" s="34" t="n"/>
      <c r="L412" s="34" t="n"/>
      <c r="M412" s="36" t="n"/>
      <c r="N412" s="36" t="n"/>
      <c r="O412" s="44">
        <f>IF(OR(H412="",I412=""),"",H412*I412)</f>
        <v/>
      </c>
      <c r="P412" s="44">
        <f>IF(O412="","",O412*IFERROR(INDEX(Settings!$B$8:$B$15,MATCH(C412,Settings!$A$8:$A$15,0)),0))</f>
        <v/>
      </c>
      <c r="Q412" s="44">
        <f>IF(OR(G412="",H412=""),"",H412*IFERROR(INDEX(Products!$J$2:$J$101,MATCH(G412,Products!$A$2:$A$101,0)),0))</f>
        <v/>
      </c>
      <c r="R412" s="44">
        <f>IF(K412="Delivered",N(O412)+N(M412)-N(N412)-N(P412)-N(Q412),IF(OR(K412="Returned",K412="Failed delivery"),-N(N412),""))</f>
        <v/>
      </c>
      <c r="S412">
        <f>IF(E412="","",IF(MATCH(E412,$E$2:E412,0)&lt;ROWS($E$2:E412),"Repeat","New"))</f>
        <v/>
      </c>
      <c r="T412" s="34" t="n"/>
    </row>
    <row r="413">
      <c r="A413" s="34" t="n"/>
      <c r="B413" s="45" t="n"/>
      <c r="C413" s="34" t="n"/>
      <c r="D413" s="34" t="n"/>
      <c r="E413" s="47" t="n"/>
      <c r="F413" s="34" t="n"/>
      <c r="G413" s="34" t="n"/>
      <c r="H413" s="34" t="n"/>
      <c r="I413" s="36" t="n"/>
      <c r="J413" s="46">
        <f>IF(G413="","",IFERROR(INDEX(Products!$B$2:$B$101,MATCH(G413,Products!$A$2:$A$101,0)),"Unknown SKU"))</f>
        <v/>
      </c>
      <c r="K413" s="34" t="n"/>
      <c r="L413" s="34" t="n"/>
      <c r="M413" s="36" t="n"/>
      <c r="N413" s="36" t="n"/>
      <c r="O413" s="44">
        <f>IF(OR(H413="",I413=""),"",H413*I413)</f>
        <v/>
      </c>
      <c r="P413" s="44">
        <f>IF(O413="","",O413*IFERROR(INDEX(Settings!$B$8:$B$15,MATCH(C413,Settings!$A$8:$A$15,0)),0))</f>
        <v/>
      </c>
      <c r="Q413" s="44">
        <f>IF(OR(G413="",H413=""),"",H413*IFERROR(INDEX(Products!$J$2:$J$101,MATCH(G413,Products!$A$2:$A$101,0)),0))</f>
        <v/>
      </c>
      <c r="R413" s="44">
        <f>IF(K413="Delivered",N(O413)+N(M413)-N(N413)-N(P413)-N(Q413),IF(OR(K413="Returned",K413="Failed delivery"),-N(N413),""))</f>
        <v/>
      </c>
      <c r="S413">
        <f>IF(E413="","",IF(MATCH(E413,$E$2:E413,0)&lt;ROWS($E$2:E413),"Repeat","New"))</f>
        <v/>
      </c>
      <c r="T413" s="34" t="n"/>
    </row>
    <row r="414">
      <c r="A414" s="34" t="n"/>
      <c r="B414" s="45" t="n"/>
      <c r="C414" s="34" t="n"/>
      <c r="D414" s="34" t="n"/>
      <c r="E414" s="47" t="n"/>
      <c r="F414" s="34" t="n"/>
      <c r="G414" s="34" t="n"/>
      <c r="H414" s="34" t="n"/>
      <c r="I414" s="36" t="n"/>
      <c r="J414" s="46">
        <f>IF(G414="","",IFERROR(INDEX(Products!$B$2:$B$101,MATCH(G414,Products!$A$2:$A$101,0)),"Unknown SKU"))</f>
        <v/>
      </c>
      <c r="K414" s="34" t="n"/>
      <c r="L414" s="34" t="n"/>
      <c r="M414" s="36" t="n"/>
      <c r="N414" s="36" t="n"/>
      <c r="O414" s="44">
        <f>IF(OR(H414="",I414=""),"",H414*I414)</f>
        <v/>
      </c>
      <c r="P414" s="44">
        <f>IF(O414="","",O414*IFERROR(INDEX(Settings!$B$8:$B$15,MATCH(C414,Settings!$A$8:$A$15,0)),0))</f>
        <v/>
      </c>
      <c r="Q414" s="44">
        <f>IF(OR(G414="",H414=""),"",H414*IFERROR(INDEX(Products!$J$2:$J$101,MATCH(G414,Products!$A$2:$A$101,0)),0))</f>
        <v/>
      </c>
      <c r="R414" s="44">
        <f>IF(K414="Delivered",N(O414)+N(M414)-N(N414)-N(P414)-N(Q414),IF(OR(K414="Returned",K414="Failed delivery"),-N(N414),""))</f>
        <v/>
      </c>
      <c r="S414">
        <f>IF(E414="","",IF(MATCH(E414,$E$2:E414,0)&lt;ROWS($E$2:E414),"Repeat","New"))</f>
        <v/>
      </c>
      <c r="T414" s="34" t="n"/>
    </row>
    <row r="415">
      <c r="A415" s="34" t="n"/>
      <c r="B415" s="45" t="n"/>
      <c r="C415" s="34" t="n"/>
      <c r="D415" s="34" t="n"/>
      <c r="E415" s="47" t="n"/>
      <c r="F415" s="34" t="n"/>
      <c r="G415" s="34" t="n"/>
      <c r="H415" s="34" t="n"/>
      <c r="I415" s="36" t="n"/>
      <c r="J415" s="46">
        <f>IF(G415="","",IFERROR(INDEX(Products!$B$2:$B$101,MATCH(G415,Products!$A$2:$A$101,0)),"Unknown SKU"))</f>
        <v/>
      </c>
      <c r="K415" s="34" t="n"/>
      <c r="L415" s="34" t="n"/>
      <c r="M415" s="36" t="n"/>
      <c r="N415" s="36" t="n"/>
      <c r="O415" s="44">
        <f>IF(OR(H415="",I415=""),"",H415*I415)</f>
        <v/>
      </c>
      <c r="P415" s="44">
        <f>IF(O415="","",O415*IFERROR(INDEX(Settings!$B$8:$B$15,MATCH(C415,Settings!$A$8:$A$15,0)),0))</f>
        <v/>
      </c>
      <c r="Q415" s="44">
        <f>IF(OR(G415="",H415=""),"",H415*IFERROR(INDEX(Products!$J$2:$J$101,MATCH(G415,Products!$A$2:$A$101,0)),0))</f>
        <v/>
      </c>
      <c r="R415" s="44">
        <f>IF(K415="Delivered",N(O415)+N(M415)-N(N415)-N(P415)-N(Q415),IF(OR(K415="Returned",K415="Failed delivery"),-N(N415),""))</f>
        <v/>
      </c>
      <c r="S415">
        <f>IF(E415="","",IF(MATCH(E415,$E$2:E415,0)&lt;ROWS($E$2:E415),"Repeat","New"))</f>
        <v/>
      </c>
      <c r="T415" s="34" t="n"/>
    </row>
    <row r="416">
      <c r="A416" s="34" t="n"/>
      <c r="B416" s="45" t="n"/>
      <c r="C416" s="34" t="n"/>
      <c r="D416" s="34" t="n"/>
      <c r="E416" s="47" t="n"/>
      <c r="F416" s="34" t="n"/>
      <c r="G416" s="34" t="n"/>
      <c r="H416" s="34" t="n"/>
      <c r="I416" s="36" t="n"/>
      <c r="J416" s="46">
        <f>IF(G416="","",IFERROR(INDEX(Products!$B$2:$B$101,MATCH(G416,Products!$A$2:$A$101,0)),"Unknown SKU"))</f>
        <v/>
      </c>
      <c r="K416" s="34" t="n"/>
      <c r="L416" s="34" t="n"/>
      <c r="M416" s="36" t="n"/>
      <c r="N416" s="36" t="n"/>
      <c r="O416" s="44">
        <f>IF(OR(H416="",I416=""),"",H416*I416)</f>
        <v/>
      </c>
      <c r="P416" s="44">
        <f>IF(O416="","",O416*IFERROR(INDEX(Settings!$B$8:$B$15,MATCH(C416,Settings!$A$8:$A$15,0)),0))</f>
        <v/>
      </c>
      <c r="Q416" s="44">
        <f>IF(OR(G416="",H416=""),"",H416*IFERROR(INDEX(Products!$J$2:$J$101,MATCH(G416,Products!$A$2:$A$101,0)),0))</f>
        <v/>
      </c>
      <c r="R416" s="44">
        <f>IF(K416="Delivered",N(O416)+N(M416)-N(N416)-N(P416)-N(Q416),IF(OR(K416="Returned",K416="Failed delivery"),-N(N416),""))</f>
        <v/>
      </c>
      <c r="S416">
        <f>IF(E416="","",IF(MATCH(E416,$E$2:E416,0)&lt;ROWS($E$2:E416),"Repeat","New"))</f>
        <v/>
      </c>
      <c r="T416" s="34" t="n"/>
    </row>
    <row r="417">
      <c r="A417" s="34" t="n"/>
      <c r="B417" s="45" t="n"/>
      <c r="C417" s="34" t="n"/>
      <c r="D417" s="34" t="n"/>
      <c r="E417" s="47" t="n"/>
      <c r="F417" s="34" t="n"/>
      <c r="G417" s="34" t="n"/>
      <c r="H417" s="34" t="n"/>
      <c r="I417" s="36" t="n"/>
      <c r="J417" s="46">
        <f>IF(G417="","",IFERROR(INDEX(Products!$B$2:$B$101,MATCH(G417,Products!$A$2:$A$101,0)),"Unknown SKU"))</f>
        <v/>
      </c>
      <c r="K417" s="34" t="n"/>
      <c r="L417" s="34" t="n"/>
      <c r="M417" s="36" t="n"/>
      <c r="N417" s="36" t="n"/>
      <c r="O417" s="44">
        <f>IF(OR(H417="",I417=""),"",H417*I417)</f>
        <v/>
      </c>
      <c r="P417" s="44">
        <f>IF(O417="","",O417*IFERROR(INDEX(Settings!$B$8:$B$15,MATCH(C417,Settings!$A$8:$A$15,0)),0))</f>
        <v/>
      </c>
      <c r="Q417" s="44">
        <f>IF(OR(G417="",H417=""),"",H417*IFERROR(INDEX(Products!$J$2:$J$101,MATCH(G417,Products!$A$2:$A$101,0)),0))</f>
        <v/>
      </c>
      <c r="R417" s="44">
        <f>IF(K417="Delivered",N(O417)+N(M417)-N(N417)-N(P417)-N(Q417),IF(OR(K417="Returned",K417="Failed delivery"),-N(N417),""))</f>
        <v/>
      </c>
      <c r="S417">
        <f>IF(E417="","",IF(MATCH(E417,$E$2:E417,0)&lt;ROWS($E$2:E417),"Repeat","New"))</f>
        <v/>
      </c>
      <c r="T417" s="34" t="n"/>
    </row>
    <row r="418">
      <c r="A418" s="34" t="n"/>
      <c r="B418" s="45" t="n"/>
      <c r="C418" s="34" t="n"/>
      <c r="D418" s="34" t="n"/>
      <c r="E418" s="47" t="n"/>
      <c r="F418" s="34" t="n"/>
      <c r="G418" s="34" t="n"/>
      <c r="H418" s="34" t="n"/>
      <c r="I418" s="36" t="n"/>
      <c r="J418" s="46">
        <f>IF(G418="","",IFERROR(INDEX(Products!$B$2:$B$101,MATCH(G418,Products!$A$2:$A$101,0)),"Unknown SKU"))</f>
        <v/>
      </c>
      <c r="K418" s="34" t="n"/>
      <c r="L418" s="34" t="n"/>
      <c r="M418" s="36" t="n"/>
      <c r="N418" s="36" t="n"/>
      <c r="O418" s="44">
        <f>IF(OR(H418="",I418=""),"",H418*I418)</f>
        <v/>
      </c>
      <c r="P418" s="44">
        <f>IF(O418="","",O418*IFERROR(INDEX(Settings!$B$8:$B$15,MATCH(C418,Settings!$A$8:$A$15,0)),0))</f>
        <v/>
      </c>
      <c r="Q418" s="44">
        <f>IF(OR(G418="",H418=""),"",H418*IFERROR(INDEX(Products!$J$2:$J$101,MATCH(G418,Products!$A$2:$A$101,0)),0))</f>
        <v/>
      </c>
      <c r="R418" s="44">
        <f>IF(K418="Delivered",N(O418)+N(M418)-N(N418)-N(P418)-N(Q418),IF(OR(K418="Returned",K418="Failed delivery"),-N(N418),""))</f>
        <v/>
      </c>
      <c r="S418">
        <f>IF(E418="","",IF(MATCH(E418,$E$2:E418,0)&lt;ROWS($E$2:E418),"Repeat","New"))</f>
        <v/>
      </c>
      <c r="T418" s="34" t="n"/>
    </row>
    <row r="419">
      <c r="A419" s="34" t="n"/>
      <c r="B419" s="45" t="n"/>
      <c r="C419" s="34" t="n"/>
      <c r="D419" s="34" t="n"/>
      <c r="E419" s="47" t="n"/>
      <c r="F419" s="34" t="n"/>
      <c r="G419" s="34" t="n"/>
      <c r="H419" s="34" t="n"/>
      <c r="I419" s="36" t="n"/>
      <c r="J419" s="46">
        <f>IF(G419="","",IFERROR(INDEX(Products!$B$2:$B$101,MATCH(G419,Products!$A$2:$A$101,0)),"Unknown SKU"))</f>
        <v/>
      </c>
      <c r="K419" s="34" t="n"/>
      <c r="L419" s="34" t="n"/>
      <c r="M419" s="36" t="n"/>
      <c r="N419" s="36" t="n"/>
      <c r="O419" s="44">
        <f>IF(OR(H419="",I419=""),"",H419*I419)</f>
        <v/>
      </c>
      <c r="P419" s="44">
        <f>IF(O419="","",O419*IFERROR(INDEX(Settings!$B$8:$B$15,MATCH(C419,Settings!$A$8:$A$15,0)),0))</f>
        <v/>
      </c>
      <c r="Q419" s="44">
        <f>IF(OR(G419="",H419=""),"",H419*IFERROR(INDEX(Products!$J$2:$J$101,MATCH(G419,Products!$A$2:$A$101,0)),0))</f>
        <v/>
      </c>
      <c r="R419" s="44">
        <f>IF(K419="Delivered",N(O419)+N(M419)-N(N419)-N(P419)-N(Q419),IF(OR(K419="Returned",K419="Failed delivery"),-N(N419),""))</f>
        <v/>
      </c>
      <c r="S419">
        <f>IF(E419="","",IF(MATCH(E419,$E$2:E419,0)&lt;ROWS($E$2:E419),"Repeat","New"))</f>
        <v/>
      </c>
      <c r="T419" s="34" t="n"/>
    </row>
    <row r="420">
      <c r="A420" s="34" t="n"/>
      <c r="B420" s="45" t="n"/>
      <c r="C420" s="34" t="n"/>
      <c r="D420" s="34" t="n"/>
      <c r="E420" s="47" t="n"/>
      <c r="F420" s="34" t="n"/>
      <c r="G420" s="34" t="n"/>
      <c r="H420" s="34" t="n"/>
      <c r="I420" s="36" t="n"/>
      <c r="J420" s="46">
        <f>IF(G420="","",IFERROR(INDEX(Products!$B$2:$B$101,MATCH(G420,Products!$A$2:$A$101,0)),"Unknown SKU"))</f>
        <v/>
      </c>
      <c r="K420" s="34" t="n"/>
      <c r="L420" s="34" t="n"/>
      <c r="M420" s="36" t="n"/>
      <c r="N420" s="36" t="n"/>
      <c r="O420" s="44">
        <f>IF(OR(H420="",I420=""),"",H420*I420)</f>
        <v/>
      </c>
      <c r="P420" s="44">
        <f>IF(O420="","",O420*IFERROR(INDEX(Settings!$B$8:$B$15,MATCH(C420,Settings!$A$8:$A$15,0)),0))</f>
        <v/>
      </c>
      <c r="Q420" s="44">
        <f>IF(OR(G420="",H420=""),"",H420*IFERROR(INDEX(Products!$J$2:$J$101,MATCH(G420,Products!$A$2:$A$101,0)),0))</f>
        <v/>
      </c>
      <c r="R420" s="44">
        <f>IF(K420="Delivered",N(O420)+N(M420)-N(N420)-N(P420)-N(Q420),IF(OR(K420="Returned",K420="Failed delivery"),-N(N420),""))</f>
        <v/>
      </c>
      <c r="S420">
        <f>IF(E420="","",IF(MATCH(E420,$E$2:E420,0)&lt;ROWS($E$2:E420),"Repeat","New"))</f>
        <v/>
      </c>
      <c r="T420" s="34" t="n"/>
    </row>
    <row r="421">
      <c r="A421" s="34" t="n"/>
      <c r="B421" s="45" t="n"/>
      <c r="C421" s="34" t="n"/>
      <c r="D421" s="34" t="n"/>
      <c r="E421" s="47" t="n"/>
      <c r="F421" s="34" t="n"/>
      <c r="G421" s="34" t="n"/>
      <c r="H421" s="34" t="n"/>
      <c r="I421" s="36" t="n"/>
      <c r="J421" s="46">
        <f>IF(G421="","",IFERROR(INDEX(Products!$B$2:$B$101,MATCH(G421,Products!$A$2:$A$101,0)),"Unknown SKU"))</f>
        <v/>
      </c>
      <c r="K421" s="34" t="n"/>
      <c r="L421" s="34" t="n"/>
      <c r="M421" s="36" t="n"/>
      <c r="N421" s="36" t="n"/>
      <c r="O421" s="44">
        <f>IF(OR(H421="",I421=""),"",H421*I421)</f>
        <v/>
      </c>
      <c r="P421" s="44">
        <f>IF(O421="","",O421*IFERROR(INDEX(Settings!$B$8:$B$15,MATCH(C421,Settings!$A$8:$A$15,0)),0))</f>
        <v/>
      </c>
      <c r="Q421" s="44">
        <f>IF(OR(G421="",H421=""),"",H421*IFERROR(INDEX(Products!$J$2:$J$101,MATCH(G421,Products!$A$2:$A$101,0)),0))</f>
        <v/>
      </c>
      <c r="R421" s="44">
        <f>IF(K421="Delivered",N(O421)+N(M421)-N(N421)-N(P421)-N(Q421),IF(OR(K421="Returned",K421="Failed delivery"),-N(N421),""))</f>
        <v/>
      </c>
      <c r="S421">
        <f>IF(E421="","",IF(MATCH(E421,$E$2:E421,0)&lt;ROWS($E$2:E421),"Repeat","New"))</f>
        <v/>
      </c>
      <c r="T421" s="34" t="n"/>
    </row>
    <row r="422">
      <c r="A422" s="34" t="n"/>
      <c r="B422" s="45" t="n"/>
      <c r="C422" s="34" t="n"/>
      <c r="D422" s="34" t="n"/>
      <c r="E422" s="47" t="n"/>
      <c r="F422" s="34" t="n"/>
      <c r="G422" s="34" t="n"/>
      <c r="H422" s="34" t="n"/>
      <c r="I422" s="36" t="n"/>
      <c r="J422" s="46">
        <f>IF(G422="","",IFERROR(INDEX(Products!$B$2:$B$101,MATCH(G422,Products!$A$2:$A$101,0)),"Unknown SKU"))</f>
        <v/>
      </c>
      <c r="K422" s="34" t="n"/>
      <c r="L422" s="34" t="n"/>
      <c r="M422" s="36" t="n"/>
      <c r="N422" s="36" t="n"/>
      <c r="O422" s="44">
        <f>IF(OR(H422="",I422=""),"",H422*I422)</f>
        <v/>
      </c>
      <c r="P422" s="44">
        <f>IF(O422="","",O422*IFERROR(INDEX(Settings!$B$8:$B$15,MATCH(C422,Settings!$A$8:$A$15,0)),0))</f>
        <v/>
      </c>
      <c r="Q422" s="44">
        <f>IF(OR(G422="",H422=""),"",H422*IFERROR(INDEX(Products!$J$2:$J$101,MATCH(G422,Products!$A$2:$A$101,0)),0))</f>
        <v/>
      </c>
      <c r="R422" s="44">
        <f>IF(K422="Delivered",N(O422)+N(M422)-N(N422)-N(P422)-N(Q422),IF(OR(K422="Returned",K422="Failed delivery"),-N(N422),""))</f>
        <v/>
      </c>
      <c r="S422">
        <f>IF(E422="","",IF(MATCH(E422,$E$2:E422,0)&lt;ROWS($E$2:E422),"Repeat","New"))</f>
        <v/>
      </c>
      <c r="T422" s="34" t="n"/>
    </row>
    <row r="423">
      <c r="A423" s="34" t="n"/>
      <c r="B423" s="45" t="n"/>
      <c r="C423" s="34" t="n"/>
      <c r="D423" s="34" t="n"/>
      <c r="E423" s="47" t="n"/>
      <c r="F423" s="34" t="n"/>
      <c r="G423" s="34" t="n"/>
      <c r="H423" s="34" t="n"/>
      <c r="I423" s="36" t="n"/>
      <c r="J423" s="46">
        <f>IF(G423="","",IFERROR(INDEX(Products!$B$2:$B$101,MATCH(G423,Products!$A$2:$A$101,0)),"Unknown SKU"))</f>
        <v/>
      </c>
      <c r="K423" s="34" t="n"/>
      <c r="L423" s="34" t="n"/>
      <c r="M423" s="36" t="n"/>
      <c r="N423" s="36" t="n"/>
      <c r="O423" s="44">
        <f>IF(OR(H423="",I423=""),"",H423*I423)</f>
        <v/>
      </c>
      <c r="P423" s="44">
        <f>IF(O423="","",O423*IFERROR(INDEX(Settings!$B$8:$B$15,MATCH(C423,Settings!$A$8:$A$15,0)),0))</f>
        <v/>
      </c>
      <c r="Q423" s="44">
        <f>IF(OR(G423="",H423=""),"",H423*IFERROR(INDEX(Products!$J$2:$J$101,MATCH(G423,Products!$A$2:$A$101,0)),0))</f>
        <v/>
      </c>
      <c r="R423" s="44">
        <f>IF(K423="Delivered",N(O423)+N(M423)-N(N423)-N(P423)-N(Q423),IF(OR(K423="Returned",K423="Failed delivery"),-N(N423),""))</f>
        <v/>
      </c>
      <c r="S423">
        <f>IF(E423="","",IF(MATCH(E423,$E$2:E423,0)&lt;ROWS($E$2:E423),"Repeat","New"))</f>
        <v/>
      </c>
      <c r="T423" s="34" t="n"/>
    </row>
    <row r="424">
      <c r="A424" s="34" t="n"/>
      <c r="B424" s="45" t="n"/>
      <c r="C424" s="34" t="n"/>
      <c r="D424" s="34" t="n"/>
      <c r="E424" s="47" t="n"/>
      <c r="F424" s="34" t="n"/>
      <c r="G424" s="34" t="n"/>
      <c r="H424" s="34" t="n"/>
      <c r="I424" s="36" t="n"/>
      <c r="J424" s="46">
        <f>IF(G424="","",IFERROR(INDEX(Products!$B$2:$B$101,MATCH(G424,Products!$A$2:$A$101,0)),"Unknown SKU"))</f>
        <v/>
      </c>
      <c r="K424" s="34" t="n"/>
      <c r="L424" s="34" t="n"/>
      <c r="M424" s="36" t="n"/>
      <c r="N424" s="36" t="n"/>
      <c r="O424" s="44">
        <f>IF(OR(H424="",I424=""),"",H424*I424)</f>
        <v/>
      </c>
      <c r="P424" s="44">
        <f>IF(O424="","",O424*IFERROR(INDEX(Settings!$B$8:$B$15,MATCH(C424,Settings!$A$8:$A$15,0)),0))</f>
        <v/>
      </c>
      <c r="Q424" s="44">
        <f>IF(OR(G424="",H424=""),"",H424*IFERROR(INDEX(Products!$J$2:$J$101,MATCH(G424,Products!$A$2:$A$101,0)),0))</f>
        <v/>
      </c>
      <c r="R424" s="44">
        <f>IF(K424="Delivered",N(O424)+N(M424)-N(N424)-N(P424)-N(Q424),IF(OR(K424="Returned",K424="Failed delivery"),-N(N424),""))</f>
        <v/>
      </c>
      <c r="S424">
        <f>IF(E424="","",IF(MATCH(E424,$E$2:E424,0)&lt;ROWS($E$2:E424),"Repeat","New"))</f>
        <v/>
      </c>
      <c r="T424" s="34" t="n"/>
    </row>
    <row r="425">
      <c r="A425" s="34" t="n"/>
      <c r="B425" s="45" t="n"/>
      <c r="C425" s="34" t="n"/>
      <c r="D425" s="34" t="n"/>
      <c r="E425" s="47" t="n"/>
      <c r="F425" s="34" t="n"/>
      <c r="G425" s="34" t="n"/>
      <c r="H425" s="34" t="n"/>
      <c r="I425" s="36" t="n"/>
      <c r="J425" s="46">
        <f>IF(G425="","",IFERROR(INDEX(Products!$B$2:$B$101,MATCH(G425,Products!$A$2:$A$101,0)),"Unknown SKU"))</f>
        <v/>
      </c>
      <c r="K425" s="34" t="n"/>
      <c r="L425" s="34" t="n"/>
      <c r="M425" s="36" t="n"/>
      <c r="N425" s="36" t="n"/>
      <c r="O425" s="44">
        <f>IF(OR(H425="",I425=""),"",H425*I425)</f>
        <v/>
      </c>
      <c r="P425" s="44">
        <f>IF(O425="","",O425*IFERROR(INDEX(Settings!$B$8:$B$15,MATCH(C425,Settings!$A$8:$A$15,0)),0))</f>
        <v/>
      </c>
      <c r="Q425" s="44">
        <f>IF(OR(G425="",H425=""),"",H425*IFERROR(INDEX(Products!$J$2:$J$101,MATCH(G425,Products!$A$2:$A$101,0)),0))</f>
        <v/>
      </c>
      <c r="R425" s="44">
        <f>IF(K425="Delivered",N(O425)+N(M425)-N(N425)-N(P425)-N(Q425),IF(OR(K425="Returned",K425="Failed delivery"),-N(N425),""))</f>
        <v/>
      </c>
      <c r="S425">
        <f>IF(E425="","",IF(MATCH(E425,$E$2:E425,0)&lt;ROWS($E$2:E425),"Repeat","New"))</f>
        <v/>
      </c>
      <c r="T425" s="34" t="n"/>
    </row>
    <row r="426">
      <c r="A426" s="34" t="n"/>
      <c r="B426" s="45" t="n"/>
      <c r="C426" s="34" t="n"/>
      <c r="D426" s="34" t="n"/>
      <c r="E426" s="47" t="n"/>
      <c r="F426" s="34" t="n"/>
      <c r="G426" s="34" t="n"/>
      <c r="H426" s="34" t="n"/>
      <c r="I426" s="36" t="n"/>
      <c r="J426" s="46">
        <f>IF(G426="","",IFERROR(INDEX(Products!$B$2:$B$101,MATCH(G426,Products!$A$2:$A$101,0)),"Unknown SKU"))</f>
        <v/>
      </c>
      <c r="K426" s="34" t="n"/>
      <c r="L426" s="34" t="n"/>
      <c r="M426" s="36" t="n"/>
      <c r="N426" s="36" t="n"/>
      <c r="O426" s="44">
        <f>IF(OR(H426="",I426=""),"",H426*I426)</f>
        <v/>
      </c>
      <c r="P426" s="44">
        <f>IF(O426="","",O426*IFERROR(INDEX(Settings!$B$8:$B$15,MATCH(C426,Settings!$A$8:$A$15,0)),0))</f>
        <v/>
      </c>
      <c r="Q426" s="44">
        <f>IF(OR(G426="",H426=""),"",H426*IFERROR(INDEX(Products!$J$2:$J$101,MATCH(G426,Products!$A$2:$A$101,0)),0))</f>
        <v/>
      </c>
      <c r="R426" s="44">
        <f>IF(K426="Delivered",N(O426)+N(M426)-N(N426)-N(P426)-N(Q426),IF(OR(K426="Returned",K426="Failed delivery"),-N(N426),""))</f>
        <v/>
      </c>
      <c r="S426">
        <f>IF(E426="","",IF(MATCH(E426,$E$2:E426,0)&lt;ROWS($E$2:E426),"Repeat","New"))</f>
        <v/>
      </c>
      <c r="T426" s="34" t="n"/>
    </row>
    <row r="427">
      <c r="A427" s="34" t="n"/>
      <c r="B427" s="45" t="n"/>
      <c r="C427" s="34" t="n"/>
      <c r="D427" s="34" t="n"/>
      <c r="E427" s="47" t="n"/>
      <c r="F427" s="34" t="n"/>
      <c r="G427" s="34" t="n"/>
      <c r="H427" s="34" t="n"/>
      <c r="I427" s="36" t="n"/>
      <c r="J427" s="46">
        <f>IF(G427="","",IFERROR(INDEX(Products!$B$2:$B$101,MATCH(G427,Products!$A$2:$A$101,0)),"Unknown SKU"))</f>
        <v/>
      </c>
      <c r="K427" s="34" t="n"/>
      <c r="L427" s="34" t="n"/>
      <c r="M427" s="36" t="n"/>
      <c r="N427" s="36" t="n"/>
      <c r="O427" s="44">
        <f>IF(OR(H427="",I427=""),"",H427*I427)</f>
        <v/>
      </c>
      <c r="P427" s="44">
        <f>IF(O427="","",O427*IFERROR(INDEX(Settings!$B$8:$B$15,MATCH(C427,Settings!$A$8:$A$15,0)),0))</f>
        <v/>
      </c>
      <c r="Q427" s="44">
        <f>IF(OR(G427="",H427=""),"",H427*IFERROR(INDEX(Products!$J$2:$J$101,MATCH(G427,Products!$A$2:$A$101,0)),0))</f>
        <v/>
      </c>
      <c r="R427" s="44">
        <f>IF(K427="Delivered",N(O427)+N(M427)-N(N427)-N(P427)-N(Q427),IF(OR(K427="Returned",K427="Failed delivery"),-N(N427),""))</f>
        <v/>
      </c>
      <c r="S427">
        <f>IF(E427="","",IF(MATCH(E427,$E$2:E427,0)&lt;ROWS($E$2:E427),"Repeat","New"))</f>
        <v/>
      </c>
      <c r="T427" s="34" t="n"/>
    </row>
    <row r="428">
      <c r="A428" s="34" t="n"/>
      <c r="B428" s="45" t="n"/>
      <c r="C428" s="34" t="n"/>
      <c r="D428" s="34" t="n"/>
      <c r="E428" s="47" t="n"/>
      <c r="F428" s="34" t="n"/>
      <c r="G428" s="34" t="n"/>
      <c r="H428" s="34" t="n"/>
      <c r="I428" s="36" t="n"/>
      <c r="J428" s="46">
        <f>IF(G428="","",IFERROR(INDEX(Products!$B$2:$B$101,MATCH(G428,Products!$A$2:$A$101,0)),"Unknown SKU"))</f>
        <v/>
      </c>
      <c r="K428" s="34" t="n"/>
      <c r="L428" s="34" t="n"/>
      <c r="M428" s="36" t="n"/>
      <c r="N428" s="36" t="n"/>
      <c r="O428" s="44">
        <f>IF(OR(H428="",I428=""),"",H428*I428)</f>
        <v/>
      </c>
      <c r="P428" s="44">
        <f>IF(O428="","",O428*IFERROR(INDEX(Settings!$B$8:$B$15,MATCH(C428,Settings!$A$8:$A$15,0)),0))</f>
        <v/>
      </c>
      <c r="Q428" s="44">
        <f>IF(OR(G428="",H428=""),"",H428*IFERROR(INDEX(Products!$J$2:$J$101,MATCH(G428,Products!$A$2:$A$101,0)),0))</f>
        <v/>
      </c>
      <c r="R428" s="44">
        <f>IF(K428="Delivered",N(O428)+N(M428)-N(N428)-N(P428)-N(Q428),IF(OR(K428="Returned",K428="Failed delivery"),-N(N428),""))</f>
        <v/>
      </c>
      <c r="S428">
        <f>IF(E428="","",IF(MATCH(E428,$E$2:E428,0)&lt;ROWS($E$2:E428),"Repeat","New"))</f>
        <v/>
      </c>
      <c r="T428" s="34" t="n"/>
    </row>
    <row r="429">
      <c r="A429" s="34" t="n"/>
      <c r="B429" s="45" t="n"/>
      <c r="C429" s="34" t="n"/>
      <c r="D429" s="34" t="n"/>
      <c r="E429" s="47" t="n"/>
      <c r="F429" s="34" t="n"/>
      <c r="G429" s="34" t="n"/>
      <c r="H429" s="34" t="n"/>
      <c r="I429" s="36" t="n"/>
      <c r="J429" s="46">
        <f>IF(G429="","",IFERROR(INDEX(Products!$B$2:$B$101,MATCH(G429,Products!$A$2:$A$101,0)),"Unknown SKU"))</f>
        <v/>
      </c>
      <c r="K429" s="34" t="n"/>
      <c r="L429" s="34" t="n"/>
      <c r="M429" s="36" t="n"/>
      <c r="N429" s="36" t="n"/>
      <c r="O429" s="44">
        <f>IF(OR(H429="",I429=""),"",H429*I429)</f>
        <v/>
      </c>
      <c r="P429" s="44">
        <f>IF(O429="","",O429*IFERROR(INDEX(Settings!$B$8:$B$15,MATCH(C429,Settings!$A$8:$A$15,0)),0))</f>
        <v/>
      </c>
      <c r="Q429" s="44">
        <f>IF(OR(G429="",H429=""),"",H429*IFERROR(INDEX(Products!$J$2:$J$101,MATCH(G429,Products!$A$2:$A$101,0)),0))</f>
        <v/>
      </c>
      <c r="R429" s="44">
        <f>IF(K429="Delivered",N(O429)+N(M429)-N(N429)-N(P429)-N(Q429),IF(OR(K429="Returned",K429="Failed delivery"),-N(N429),""))</f>
        <v/>
      </c>
      <c r="S429">
        <f>IF(E429="","",IF(MATCH(E429,$E$2:E429,0)&lt;ROWS($E$2:E429),"Repeat","New"))</f>
        <v/>
      </c>
      <c r="T429" s="34" t="n"/>
    </row>
    <row r="430">
      <c r="A430" s="34" t="n"/>
      <c r="B430" s="45" t="n"/>
      <c r="C430" s="34" t="n"/>
      <c r="D430" s="34" t="n"/>
      <c r="E430" s="47" t="n"/>
      <c r="F430" s="34" t="n"/>
      <c r="G430" s="34" t="n"/>
      <c r="H430" s="34" t="n"/>
      <c r="I430" s="36" t="n"/>
      <c r="J430" s="46">
        <f>IF(G430="","",IFERROR(INDEX(Products!$B$2:$B$101,MATCH(G430,Products!$A$2:$A$101,0)),"Unknown SKU"))</f>
        <v/>
      </c>
      <c r="K430" s="34" t="n"/>
      <c r="L430" s="34" t="n"/>
      <c r="M430" s="36" t="n"/>
      <c r="N430" s="36" t="n"/>
      <c r="O430" s="44">
        <f>IF(OR(H430="",I430=""),"",H430*I430)</f>
        <v/>
      </c>
      <c r="P430" s="44">
        <f>IF(O430="","",O430*IFERROR(INDEX(Settings!$B$8:$B$15,MATCH(C430,Settings!$A$8:$A$15,0)),0))</f>
        <v/>
      </c>
      <c r="Q430" s="44">
        <f>IF(OR(G430="",H430=""),"",H430*IFERROR(INDEX(Products!$J$2:$J$101,MATCH(G430,Products!$A$2:$A$101,0)),0))</f>
        <v/>
      </c>
      <c r="R430" s="44">
        <f>IF(K430="Delivered",N(O430)+N(M430)-N(N430)-N(P430)-N(Q430),IF(OR(K430="Returned",K430="Failed delivery"),-N(N430),""))</f>
        <v/>
      </c>
      <c r="S430">
        <f>IF(E430="","",IF(MATCH(E430,$E$2:E430,0)&lt;ROWS($E$2:E430),"Repeat","New"))</f>
        <v/>
      </c>
      <c r="T430" s="34" t="n"/>
    </row>
    <row r="431">
      <c r="A431" s="34" t="n"/>
      <c r="B431" s="45" t="n"/>
      <c r="C431" s="34" t="n"/>
      <c r="D431" s="34" t="n"/>
      <c r="E431" s="47" t="n"/>
      <c r="F431" s="34" t="n"/>
      <c r="G431" s="34" t="n"/>
      <c r="H431" s="34" t="n"/>
      <c r="I431" s="36" t="n"/>
      <c r="J431" s="46">
        <f>IF(G431="","",IFERROR(INDEX(Products!$B$2:$B$101,MATCH(G431,Products!$A$2:$A$101,0)),"Unknown SKU"))</f>
        <v/>
      </c>
      <c r="K431" s="34" t="n"/>
      <c r="L431" s="34" t="n"/>
      <c r="M431" s="36" t="n"/>
      <c r="N431" s="36" t="n"/>
      <c r="O431" s="44">
        <f>IF(OR(H431="",I431=""),"",H431*I431)</f>
        <v/>
      </c>
      <c r="P431" s="44">
        <f>IF(O431="","",O431*IFERROR(INDEX(Settings!$B$8:$B$15,MATCH(C431,Settings!$A$8:$A$15,0)),0))</f>
        <v/>
      </c>
      <c r="Q431" s="44">
        <f>IF(OR(G431="",H431=""),"",H431*IFERROR(INDEX(Products!$J$2:$J$101,MATCH(G431,Products!$A$2:$A$101,0)),0))</f>
        <v/>
      </c>
      <c r="R431" s="44">
        <f>IF(K431="Delivered",N(O431)+N(M431)-N(N431)-N(P431)-N(Q431),IF(OR(K431="Returned",K431="Failed delivery"),-N(N431),""))</f>
        <v/>
      </c>
      <c r="S431">
        <f>IF(E431="","",IF(MATCH(E431,$E$2:E431,0)&lt;ROWS($E$2:E431),"Repeat","New"))</f>
        <v/>
      </c>
      <c r="T431" s="34" t="n"/>
    </row>
    <row r="432">
      <c r="A432" s="34" t="n"/>
      <c r="B432" s="45" t="n"/>
      <c r="C432" s="34" t="n"/>
      <c r="D432" s="34" t="n"/>
      <c r="E432" s="47" t="n"/>
      <c r="F432" s="34" t="n"/>
      <c r="G432" s="34" t="n"/>
      <c r="H432" s="34" t="n"/>
      <c r="I432" s="36" t="n"/>
      <c r="J432" s="46">
        <f>IF(G432="","",IFERROR(INDEX(Products!$B$2:$B$101,MATCH(G432,Products!$A$2:$A$101,0)),"Unknown SKU"))</f>
        <v/>
      </c>
      <c r="K432" s="34" t="n"/>
      <c r="L432" s="34" t="n"/>
      <c r="M432" s="36" t="n"/>
      <c r="N432" s="36" t="n"/>
      <c r="O432" s="44">
        <f>IF(OR(H432="",I432=""),"",H432*I432)</f>
        <v/>
      </c>
      <c r="P432" s="44">
        <f>IF(O432="","",O432*IFERROR(INDEX(Settings!$B$8:$B$15,MATCH(C432,Settings!$A$8:$A$15,0)),0))</f>
        <v/>
      </c>
      <c r="Q432" s="44">
        <f>IF(OR(G432="",H432=""),"",H432*IFERROR(INDEX(Products!$J$2:$J$101,MATCH(G432,Products!$A$2:$A$101,0)),0))</f>
        <v/>
      </c>
      <c r="R432" s="44">
        <f>IF(K432="Delivered",N(O432)+N(M432)-N(N432)-N(P432)-N(Q432),IF(OR(K432="Returned",K432="Failed delivery"),-N(N432),""))</f>
        <v/>
      </c>
      <c r="S432">
        <f>IF(E432="","",IF(MATCH(E432,$E$2:E432,0)&lt;ROWS($E$2:E432),"Repeat","New"))</f>
        <v/>
      </c>
      <c r="T432" s="34" t="n"/>
    </row>
    <row r="433">
      <c r="A433" s="34" t="n"/>
      <c r="B433" s="45" t="n"/>
      <c r="C433" s="34" t="n"/>
      <c r="D433" s="34" t="n"/>
      <c r="E433" s="47" t="n"/>
      <c r="F433" s="34" t="n"/>
      <c r="G433" s="34" t="n"/>
      <c r="H433" s="34" t="n"/>
      <c r="I433" s="36" t="n"/>
      <c r="J433" s="46">
        <f>IF(G433="","",IFERROR(INDEX(Products!$B$2:$B$101,MATCH(G433,Products!$A$2:$A$101,0)),"Unknown SKU"))</f>
        <v/>
      </c>
      <c r="K433" s="34" t="n"/>
      <c r="L433" s="34" t="n"/>
      <c r="M433" s="36" t="n"/>
      <c r="N433" s="36" t="n"/>
      <c r="O433" s="44">
        <f>IF(OR(H433="",I433=""),"",H433*I433)</f>
        <v/>
      </c>
      <c r="P433" s="44">
        <f>IF(O433="","",O433*IFERROR(INDEX(Settings!$B$8:$B$15,MATCH(C433,Settings!$A$8:$A$15,0)),0))</f>
        <v/>
      </c>
      <c r="Q433" s="44">
        <f>IF(OR(G433="",H433=""),"",H433*IFERROR(INDEX(Products!$J$2:$J$101,MATCH(G433,Products!$A$2:$A$101,0)),0))</f>
        <v/>
      </c>
      <c r="R433" s="44">
        <f>IF(K433="Delivered",N(O433)+N(M433)-N(N433)-N(P433)-N(Q433),IF(OR(K433="Returned",K433="Failed delivery"),-N(N433),""))</f>
        <v/>
      </c>
      <c r="S433">
        <f>IF(E433="","",IF(MATCH(E433,$E$2:E433,0)&lt;ROWS($E$2:E433),"Repeat","New"))</f>
        <v/>
      </c>
      <c r="T433" s="34" t="n"/>
    </row>
    <row r="434">
      <c r="A434" s="34" t="n"/>
      <c r="B434" s="45" t="n"/>
      <c r="C434" s="34" t="n"/>
      <c r="D434" s="34" t="n"/>
      <c r="E434" s="47" t="n"/>
      <c r="F434" s="34" t="n"/>
      <c r="G434" s="34" t="n"/>
      <c r="H434" s="34" t="n"/>
      <c r="I434" s="36" t="n"/>
      <c r="J434" s="46">
        <f>IF(G434="","",IFERROR(INDEX(Products!$B$2:$B$101,MATCH(G434,Products!$A$2:$A$101,0)),"Unknown SKU"))</f>
        <v/>
      </c>
      <c r="K434" s="34" t="n"/>
      <c r="L434" s="34" t="n"/>
      <c r="M434" s="36" t="n"/>
      <c r="N434" s="36" t="n"/>
      <c r="O434" s="44">
        <f>IF(OR(H434="",I434=""),"",H434*I434)</f>
        <v/>
      </c>
      <c r="P434" s="44">
        <f>IF(O434="","",O434*IFERROR(INDEX(Settings!$B$8:$B$15,MATCH(C434,Settings!$A$8:$A$15,0)),0))</f>
        <v/>
      </c>
      <c r="Q434" s="44">
        <f>IF(OR(G434="",H434=""),"",H434*IFERROR(INDEX(Products!$J$2:$J$101,MATCH(G434,Products!$A$2:$A$101,0)),0))</f>
        <v/>
      </c>
      <c r="R434" s="44">
        <f>IF(K434="Delivered",N(O434)+N(M434)-N(N434)-N(P434)-N(Q434),IF(OR(K434="Returned",K434="Failed delivery"),-N(N434),""))</f>
        <v/>
      </c>
      <c r="S434">
        <f>IF(E434="","",IF(MATCH(E434,$E$2:E434,0)&lt;ROWS($E$2:E434),"Repeat","New"))</f>
        <v/>
      </c>
      <c r="T434" s="34" t="n"/>
    </row>
    <row r="435">
      <c r="A435" s="34" t="n"/>
      <c r="B435" s="45" t="n"/>
      <c r="C435" s="34" t="n"/>
      <c r="D435" s="34" t="n"/>
      <c r="E435" s="47" t="n"/>
      <c r="F435" s="34" t="n"/>
      <c r="G435" s="34" t="n"/>
      <c r="H435" s="34" t="n"/>
      <c r="I435" s="36" t="n"/>
      <c r="J435" s="46">
        <f>IF(G435="","",IFERROR(INDEX(Products!$B$2:$B$101,MATCH(G435,Products!$A$2:$A$101,0)),"Unknown SKU"))</f>
        <v/>
      </c>
      <c r="K435" s="34" t="n"/>
      <c r="L435" s="34" t="n"/>
      <c r="M435" s="36" t="n"/>
      <c r="N435" s="36" t="n"/>
      <c r="O435" s="44">
        <f>IF(OR(H435="",I435=""),"",H435*I435)</f>
        <v/>
      </c>
      <c r="P435" s="44">
        <f>IF(O435="","",O435*IFERROR(INDEX(Settings!$B$8:$B$15,MATCH(C435,Settings!$A$8:$A$15,0)),0))</f>
        <v/>
      </c>
      <c r="Q435" s="44">
        <f>IF(OR(G435="",H435=""),"",H435*IFERROR(INDEX(Products!$J$2:$J$101,MATCH(G435,Products!$A$2:$A$101,0)),0))</f>
        <v/>
      </c>
      <c r="R435" s="44">
        <f>IF(K435="Delivered",N(O435)+N(M435)-N(N435)-N(P435)-N(Q435),IF(OR(K435="Returned",K435="Failed delivery"),-N(N435),""))</f>
        <v/>
      </c>
      <c r="S435">
        <f>IF(E435="","",IF(MATCH(E435,$E$2:E435,0)&lt;ROWS($E$2:E435),"Repeat","New"))</f>
        <v/>
      </c>
      <c r="T435" s="34" t="n"/>
    </row>
    <row r="436">
      <c r="A436" s="34" t="n"/>
      <c r="B436" s="45" t="n"/>
      <c r="C436" s="34" t="n"/>
      <c r="D436" s="34" t="n"/>
      <c r="E436" s="47" t="n"/>
      <c r="F436" s="34" t="n"/>
      <c r="G436" s="34" t="n"/>
      <c r="H436" s="34" t="n"/>
      <c r="I436" s="36" t="n"/>
      <c r="J436" s="46">
        <f>IF(G436="","",IFERROR(INDEX(Products!$B$2:$B$101,MATCH(G436,Products!$A$2:$A$101,0)),"Unknown SKU"))</f>
        <v/>
      </c>
      <c r="K436" s="34" t="n"/>
      <c r="L436" s="34" t="n"/>
      <c r="M436" s="36" t="n"/>
      <c r="N436" s="36" t="n"/>
      <c r="O436" s="44">
        <f>IF(OR(H436="",I436=""),"",H436*I436)</f>
        <v/>
      </c>
      <c r="P436" s="44">
        <f>IF(O436="","",O436*IFERROR(INDEX(Settings!$B$8:$B$15,MATCH(C436,Settings!$A$8:$A$15,0)),0))</f>
        <v/>
      </c>
      <c r="Q436" s="44">
        <f>IF(OR(G436="",H436=""),"",H436*IFERROR(INDEX(Products!$J$2:$J$101,MATCH(G436,Products!$A$2:$A$101,0)),0))</f>
        <v/>
      </c>
      <c r="R436" s="44">
        <f>IF(K436="Delivered",N(O436)+N(M436)-N(N436)-N(P436)-N(Q436),IF(OR(K436="Returned",K436="Failed delivery"),-N(N436),""))</f>
        <v/>
      </c>
      <c r="S436">
        <f>IF(E436="","",IF(MATCH(E436,$E$2:E436,0)&lt;ROWS($E$2:E436),"Repeat","New"))</f>
        <v/>
      </c>
      <c r="T436" s="34" t="n"/>
    </row>
    <row r="437">
      <c r="A437" s="34" t="n"/>
      <c r="B437" s="45" t="n"/>
      <c r="C437" s="34" t="n"/>
      <c r="D437" s="34" t="n"/>
      <c r="E437" s="47" t="n"/>
      <c r="F437" s="34" t="n"/>
      <c r="G437" s="34" t="n"/>
      <c r="H437" s="34" t="n"/>
      <c r="I437" s="36" t="n"/>
      <c r="J437" s="46">
        <f>IF(G437="","",IFERROR(INDEX(Products!$B$2:$B$101,MATCH(G437,Products!$A$2:$A$101,0)),"Unknown SKU"))</f>
        <v/>
      </c>
      <c r="K437" s="34" t="n"/>
      <c r="L437" s="34" t="n"/>
      <c r="M437" s="36" t="n"/>
      <c r="N437" s="36" t="n"/>
      <c r="O437" s="44">
        <f>IF(OR(H437="",I437=""),"",H437*I437)</f>
        <v/>
      </c>
      <c r="P437" s="44">
        <f>IF(O437="","",O437*IFERROR(INDEX(Settings!$B$8:$B$15,MATCH(C437,Settings!$A$8:$A$15,0)),0))</f>
        <v/>
      </c>
      <c r="Q437" s="44">
        <f>IF(OR(G437="",H437=""),"",H437*IFERROR(INDEX(Products!$J$2:$J$101,MATCH(G437,Products!$A$2:$A$101,0)),0))</f>
        <v/>
      </c>
      <c r="R437" s="44">
        <f>IF(K437="Delivered",N(O437)+N(M437)-N(N437)-N(P437)-N(Q437),IF(OR(K437="Returned",K437="Failed delivery"),-N(N437),""))</f>
        <v/>
      </c>
      <c r="S437">
        <f>IF(E437="","",IF(MATCH(E437,$E$2:E437,0)&lt;ROWS($E$2:E437),"Repeat","New"))</f>
        <v/>
      </c>
      <c r="T437" s="34" t="n"/>
    </row>
    <row r="438">
      <c r="A438" s="34" t="n"/>
      <c r="B438" s="45" t="n"/>
      <c r="C438" s="34" t="n"/>
      <c r="D438" s="34" t="n"/>
      <c r="E438" s="47" t="n"/>
      <c r="F438" s="34" t="n"/>
      <c r="G438" s="34" t="n"/>
      <c r="H438" s="34" t="n"/>
      <c r="I438" s="36" t="n"/>
      <c r="J438" s="46">
        <f>IF(G438="","",IFERROR(INDEX(Products!$B$2:$B$101,MATCH(G438,Products!$A$2:$A$101,0)),"Unknown SKU"))</f>
        <v/>
      </c>
      <c r="K438" s="34" t="n"/>
      <c r="L438" s="34" t="n"/>
      <c r="M438" s="36" t="n"/>
      <c r="N438" s="36" t="n"/>
      <c r="O438" s="44">
        <f>IF(OR(H438="",I438=""),"",H438*I438)</f>
        <v/>
      </c>
      <c r="P438" s="44">
        <f>IF(O438="","",O438*IFERROR(INDEX(Settings!$B$8:$B$15,MATCH(C438,Settings!$A$8:$A$15,0)),0))</f>
        <v/>
      </c>
      <c r="Q438" s="44">
        <f>IF(OR(G438="",H438=""),"",H438*IFERROR(INDEX(Products!$J$2:$J$101,MATCH(G438,Products!$A$2:$A$101,0)),0))</f>
        <v/>
      </c>
      <c r="R438" s="44">
        <f>IF(K438="Delivered",N(O438)+N(M438)-N(N438)-N(P438)-N(Q438),IF(OR(K438="Returned",K438="Failed delivery"),-N(N438),""))</f>
        <v/>
      </c>
      <c r="S438">
        <f>IF(E438="","",IF(MATCH(E438,$E$2:E438,0)&lt;ROWS($E$2:E438),"Repeat","New"))</f>
        <v/>
      </c>
      <c r="T438" s="34" t="n"/>
    </row>
    <row r="439">
      <c r="A439" s="34" t="n"/>
      <c r="B439" s="45" t="n"/>
      <c r="C439" s="34" t="n"/>
      <c r="D439" s="34" t="n"/>
      <c r="E439" s="47" t="n"/>
      <c r="F439" s="34" t="n"/>
      <c r="G439" s="34" t="n"/>
      <c r="H439" s="34" t="n"/>
      <c r="I439" s="36" t="n"/>
      <c r="J439" s="46">
        <f>IF(G439="","",IFERROR(INDEX(Products!$B$2:$B$101,MATCH(G439,Products!$A$2:$A$101,0)),"Unknown SKU"))</f>
        <v/>
      </c>
      <c r="K439" s="34" t="n"/>
      <c r="L439" s="34" t="n"/>
      <c r="M439" s="36" t="n"/>
      <c r="N439" s="36" t="n"/>
      <c r="O439" s="44">
        <f>IF(OR(H439="",I439=""),"",H439*I439)</f>
        <v/>
      </c>
      <c r="P439" s="44">
        <f>IF(O439="","",O439*IFERROR(INDEX(Settings!$B$8:$B$15,MATCH(C439,Settings!$A$8:$A$15,0)),0))</f>
        <v/>
      </c>
      <c r="Q439" s="44">
        <f>IF(OR(G439="",H439=""),"",H439*IFERROR(INDEX(Products!$J$2:$J$101,MATCH(G439,Products!$A$2:$A$101,0)),0))</f>
        <v/>
      </c>
      <c r="R439" s="44">
        <f>IF(K439="Delivered",N(O439)+N(M439)-N(N439)-N(P439)-N(Q439),IF(OR(K439="Returned",K439="Failed delivery"),-N(N439),""))</f>
        <v/>
      </c>
      <c r="S439">
        <f>IF(E439="","",IF(MATCH(E439,$E$2:E439,0)&lt;ROWS($E$2:E439),"Repeat","New"))</f>
        <v/>
      </c>
      <c r="T439" s="34" t="n"/>
    </row>
    <row r="440">
      <c r="A440" s="34" t="n"/>
      <c r="B440" s="45" t="n"/>
      <c r="C440" s="34" t="n"/>
      <c r="D440" s="34" t="n"/>
      <c r="E440" s="47" t="n"/>
      <c r="F440" s="34" t="n"/>
      <c r="G440" s="34" t="n"/>
      <c r="H440" s="34" t="n"/>
      <c r="I440" s="36" t="n"/>
      <c r="J440" s="46">
        <f>IF(G440="","",IFERROR(INDEX(Products!$B$2:$B$101,MATCH(G440,Products!$A$2:$A$101,0)),"Unknown SKU"))</f>
        <v/>
      </c>
      <c r="K440" s="34" t="n"/>
      <c r="L440" s="34" t="n"/>
      <c r="M440" s="36" t="n"/>
      <c r="N440" s="36" t="n"/>
      <c r="O440" s="44">
        <f>IF(OR(H440="",I440=""),"",H440*I440)</f>
        <v/>
      </c>
      <c r="P440" s="44">
        <f>IF(O440="","",O440*IFERROR(INDEX(Settings!$B$8:$B$15,MATCH(C440,Settings!$A$8:$A$15,0)),0))</f>
        <v/>
      </c>
      <c r="Q440" s="44">
        <f>IF(OR(G440="",H440=""),"",H440*IFERROR(INDEX(Products!$J$2:$J$101,MATCH(G440,Products!$A$2:$A$101,0)),0))</f>
        <v/>
      </c>
      <c r="R440" s="44">
        <f>IF(K440="Delivered",N(O440)+N(M440)-N(N440)-N(P440)-N(Q440),IF(OR(K440="Returned",K440="Failed delivery"),-N(N440),""))</f>
        <v/>
      </c>
      <c r="S440">
        <f>IF(E440="","",IF(MATCH(E440,$E$2:E440,0)&lt;ROWS($E$2:E440),"Repeat","New"))</f>
        <v/>
      </c>
      <c r="T440" s="34" t="n"/>
    </row>
    <row r="441">
      <c r="A441" s="34" t="n"/>
      <c r="B441" s="45" t="n"/>
      <c r="C441" s="34" t="n"/>
      <c r="D441" s="34" t="n"/>
      <c r="E441" s="47" t="n"/>
      <c r="F441" s="34" t="n"/>
      <c r="G441" s="34" t="n"/>
      <c r="H441" s="34" t="n"/>
      <c r="I441" s="36" t="n"/>
      <c r="J441" s="46">
        <f>IF(G441="","",IFERROR(INDEX(Products!$B$2:$B$101,MATCH(G441,Products!$A$2:$A$101,0)),"Unknown SKU"))</f>
        <v/>
      </c>
      <c r="K441" s="34" t="n"/>
      <c r="L441" s="34" t="n"/>
      <c r="M441" s="36" t="n"/>
      <c r="N441" s="36" t="n"/>
      <c r="O441" s="44">
        <f>IF(OR(H441="",I441=""),"",H441*I441)</f>
        <v/>
      </c>
      <c r="P441" s="44">
        <f>IF(O441="","",O441*IFERROR(INDEX(Settings!$B$8:$B$15,MATCH(C441,Settings!$A$8:$A$15,0)),0))</f>
        <v/>
      </c>
      <c r="Q441" s="44">
        <f>IF(OR(G441="",H441=""),"",H441*IFERROR(INDEX(Products!$J$2:$J$101,MATCH(G441,Products!$A$2:$A$101,0)),0))</f>
        <v/>
      </c>
      <c r="R441" s="44">
        <f>IF(K441="Delivered",N(O441)+N(M441)-N(N441)-N(P441)-N(Q441),IF(OR(K441="Returned",K441="Failed delivery"),-N(N441),""))</f>
        <v/>
      </c>
      <c r="S441">
        <f>IF(E441="","",IF(MATCH(E441,$E$2:E441,0)&lt;ROWS($E$2:E441),"Repeat","New"))</f>
        <v/>
      </c>
      <c r="T441" s="34" t="n"/>
    </row>
    <row r="442">
      <c r="A442" s="34" t="n"/>
      <c r="B442" s="45" t="n"/>
      <c r="C442" s="34" t="n"/>
      <c r="D442" s="34" t="n"/>
      <c r="E442" s="47" t="n"/>
      <c r="F442" s="34" t="n"/>
      <c r="G442" s="34" t="n"/>
      <c r="H442" s="34" t="n"/>
      <c r="I442" s="36" t="n"/>
      <c r="J442" s="46">
        <f>IF(G442="","",IFERROR(INDEX(Products!$B$2:$B$101,MATCH(G442,Products!$A$2:$A$101,0)),"Unknown SKU"))</f>
        <v/>
      </c>
      <c r="K442" s="34" t="n"/>
      <c r="L442" s="34" t="n"/>
      <c r="M442" s="36" t="n"/>
      <c r="N442" s="36" t="n"/>
      <c r="O442" s="44">
        <f>IF(OR(H442="",I442=""),"",H442*I442)</f>
        <v/>
      </c>
      <c r="P442" s="44">
        <f>IF(O442="","",O442*IFERROR(INDEX(Settings!$B$8:$B$15,MATCH(C442,Settings!$A$8:$A$15,0)),0))</f>
        <v/>
      </c>
      <c r="Q442" s="44">
        <f>IF(OR(G442="",H442=""),"",H442*IFERROR(INDEX(Products!$J$2:$J$101,MATCH(G442,Products!$A$2:$A$101,0)),0))</f>
        <v/>
      </c>
      <c r="R442" s="44">
        <f>IF(K442="Delivered",N(O442)+N(M442)-N(N442)-N(P442)-N(Q442),IF(OR(K442="Returned",K442="Failed delivery"),-N(N442),""))</f>
        <v/>
      </c>
      <c r="S442">
        <f>IF(E442="","",IF(MATCH(E442,$E$2:E442,0)&lt;ROWS($E$2:E442),"Repeat","New"))</f>
        <v/>
      </c>
      <c r="T442" s="34" t="n"/>
    </row>
    <row r="443">
      <c r="A443" s="34" t="n"/>
      <c r="B443" s="45" t="n"/>
      <c r="C443" s="34" t="n"/>
      <c r="D443" s="34" t="n"/>
      <c r="E443" s="47" t="n"/>
      <c r="F443" s="34" t="n"/>
      <c r="G443" s="34" t="n"/>
      <c r="H443" s="34" t="n"/>
      <c r="I443" s="36" t="n"/>
      <c r="J443" s="46">
        <f>IF(G443="","",IFERROR(INDEX(Products!$B$2:$B$101,MATCH(G443,Products!$A$2:$A$101,0)),"Unknown SKU"))</f>
        <v/>
      </c>
      <c r="K443" s="34" t="n"/>
      <c r="L443" s="34" t="n"/>
      <c r="M443" s="36" t="n"/>
      <c r="N443" s="36" t="n"/>
      <c r="O443" s="44">
        <f>IF(OR(H443="",I443=""),"",H443*I443)</f>
        <v/>
      </c>
      <c r="P443" s="44">
        <f>IF(O443="","",O443*IFERROR(INDEX(Settings!$B$8:$B$15,MATCH(C443,Settings!$A$8:$A$15,0)),0))</f>
        <v/>
      </c>
      <c r="Q443" s="44">
        <f>IF(OR(G443="",H443=""),"",H443*IFERROR(INDEX(Products!$J$2:$J$101,MATCH(G443,Products!$A$2:$A$101,0)),0))</f>
        <v/>
      </c>
      <c r="R443" s="44">
        <f>IF(K443="Delivered",N(O443)+N(M443)-N(N443)-N(P443)-N(Q443),IF(OR(K443="Returned",K443="Failed delivery"),-N(N443),""))</f>
        <v/>
      </c>
      <c r="S443">
        <f>IF(E443="","",IF(MATCH(E443,$E$2:E443,0)&lt;ROWS($E$2:E443),"Repeat","New"))</f>
        <v/>
      </c>
      <c r="T443" s="34" t="n"/>
    </row>
    <row r="444">
      <c r="A444" s="34" t="n"/>
      <c r="B444" s="45" t="n"/>
      <c r="C444" s="34" t="n"/>
      <c r="D444" s="34" t="n"/>
      <c r="E444" s="47" t="n"/>
      <c r="F444" s="34" t="n"/>
      <c r="G444" s="34" t="n"/>
      <c r="H444" s="34" t="n"/>
      <c r="I444" s="36" t="n"/>
      <c r="J444" s="46">
        <f>IF(G444="","",IFERROR(INDEX(Products!$B$2:$B$101,MATCH(G444,Products!$A$2:$A$101,0)),"Unknown SKU"))</f>
        <v/>
      </c>
      <c r="K444" s="34" t="n"/>
      <c r="L444" s="34" t="n"/>
      <c r="M444" s="36" t="n"/>
      <c r="N444" s="36" t="n"/>
      <c r="O444" s="44">
        <f>IF(OR(H444="",I444=""),"",H444*I444)</f>
        <v/>
      </c>
      <c r="P444" s="44">
        <f>IF(O444="","",O444*IFERROR(INDEX(Settings!$B$8:$B$15,MATCH(C444,Settings!$A$8:$A$15,0)),0))</f>
        <v/>
      </c>
      <c r="Q444" s="44">
        <f>IF(OR(G444="",H444=""),"",H444*IFERROR(INDEX(Products!$J$2:$J$101,MATCH(G444,Products!$A$2:$A$101,0)),0))</f>
        <v/>
      </c>
      <c r="R444" s="44">
        <f>IF(K444="Delivered",N(O444)+N(M444)-N(N444)-N(P444)-N(Q444),IF(OR(K444="Returned",K444="Failed delivery"),-N(N444),""))</f>
        <v/>
      </c>
      <c r="S444">
        <f>IF(E444="","",IF(MATCH(E444,$E$2:E444,0)&lt;ROWS($E$2:E444),"Repeat","New"))</f>
        <v/>
      </c>
      <c r="T444" s="34" t="n"/>
    </row>
    <row r="445">
      <c r="A445" s="34" t="n"/>
      <c r="B445" s="45" t="n"/>
      <c r="C445" s="34" t="n"/>
      <c r="D445" s="34" t="n"/>
      <c r="E445" s="47" t="n"/>
      <c r="F445" s="34" t="n"/>
      <c r="G445" s="34" t="n"/>
      <c r="H445" s="34" t="n"/>
      <c r="I445" s="36" t="n"/>
      <c r="J445" s="46">
        <f>IF(G445="","",IFERROR(INDEX(Products!$B$2:$B$101,MATCH(G445,Products!$A$2:$A$101,0)),"Unknown SKU"))</f>
        <v/>
      </c>
      <c r="K445" s="34" t="n"/>
      <c r="L445" s="34" t="n"/>
      <c r="M445" s="36" t="n"/>
      <c r="N445" s="36" t="n"/>
      <c r="O445" s="44">
        <f>IF(OR(H445="",I445=""),"",H445*I445)</f>
        <v/>
      </c>
      <c r="P445" s="44">
        <f>IF(O445="","",O445*IFERROR(INDEX(Settings!$B$8:$B$15,MATCH(C445,Settings!$A$8:$A$15,0)),0))</f>
        <v/>
      </c>
      <c r="Q445" s="44">
        <f>IF(OR(G445="",H445=""),"",H445*IFERROR(INDEX(Products!$J$2:$J$101,MATCH(G445,Products!$A$2:$A$101,0)),0))</f>
        <v/>
      </c>
      <c r="R445" s="44">
        <f>IF(K445="Delivered",N(O445)+N(M445)-N(N445)-N(P445)-N(Q445),IF(OR(K445="Returned",K445="Failed delivery"),-N(N445),""))</f>
        <v/>
      </c>
      <c r="S445">
        <f>IF(E445="","",IF(MATCH(E445,$E$2:E445,0)&lt;ROWS($E$2:E445),"Repeat","New"))</f>
        <v/>
      </c>
      <c r="T445" s="34" t="n"/>
    </row>
    <row r="446">
      <c r="A446" s="34" t="n"/>
      <c r="B446" s="45" t="n"/>
      <c r="C446" s="34" t="n"/>
      <c r="D446" s="34" t="n"/>
      <c r="E446" s="47" t="n"/>
      <c r="F446" s="34" t="n"/>
      <c r="G446" s="34" t="n"/>
      <c r="H446" s="34" t="n"/>
      <c r="I446" s="36" t="n"/>
      <c r="J446" s="46">
        <f>IF(G446="","",IFERROR(INDEX(Products!$B$2:$B$101,MATCH(G446,Products!$A$2:$A$101,0)),"Unknown SKU"))</f>
        <v/>
      </c>
      <c r="K446" s="34" t="n"/>
      <c r="L446" s="34" t="n"/>
      <c r="M446" s="36" t="n"/>
      <c r="N446" s="36" t="n"/>
      <c r="O446" s="44">
        <f>IF(OR(H446="",I446=""),"",H446*I446)</f>
        <v/>
      </c>
      <c r="P446" s="44">
        <f>IF(O446="","",O446*IFERROR(INDEX(Settings!$B$8:$B$15,MATCH(C446,Settings!$A$8:$A$15,0)),0))</f>
        <v/>
      </c>
      <c r="Q446" s="44">
        <f>IF(OR(G446="",H446=""),"",H446*IFERROR(INDEX(Products!$J$2:$J$101,MATCH(G446,Products!$A$2:$A$101,0)),0))</f>
        <v/>
      </c>
      <c r="R446" s="44">
        <f>IF(K446="Delivered",N(O446)+N(M446)-N(N446)-N(P446)-N(Q446),IF(OR(K446="Returned",K446="Failed delivery"),-N(N446),""))</f>
        <v/>
      </c>
      <c r="S446">
        <f>IF(E446="","",IF(MATCH(E446,$E$2:E446,0)&lt;ROWS($E$2:E446),"Repeat","New"))</f>
        <v/>
      </c>
      <c r="T446" s="34" t="n"/>
    </row>
    <row r="447">
      <c r="A447" s="34" t="n"/>
      <c r="B447" s="45" t="n"/>
      <c r="C447" s="34" t="n"/>
      <c r="D447" s="34" t="n"/>
      <c r="E447" s="47" t="n"/>
      <c r="F447" s="34" t="n"/>
      <c r="G447" s="34" t="n"/>
      <c r="H447" s="34" t="n"/>
      <c r="I447" s="36" t="n"/>
      <c r="J447" s="46">
        <f>IF(G447="","",IFERROR(INDEX(Products!$B$2:$B$101,MATCH(G447,Products!$A$2:$A$101,0)),"Unknown SKU"))</f>
        <v/>
      </c>
      <c r="K447" s="34" t="n"/>
      <c r="L447" s="34" t="n"/>
      <c r="M447" s="36" t="n"/>
      <c r="N447" s="36" t="n"/>
      <c r="O447" s="44">
        <f>IF(OR(H447="",I447=""),"",H447*I447)</f>
        <v/>
      </c>
      <c r="P447" s="44">
        <f>IF(O447="","",O447*IFERROR(INDEX(Settings!$B$8:$B$15,MATCH(C447,Settings!$A$8:$A$15,0)),0))</f>
        <v/>
      </c>
      <c r="Q447" s="44">
        <f>IF(OR(G447="",H447=""),"",H447*IFERROR(INDEX(Products!$J$2:$J$101,MATCH(G447,Products!$A$2:$A$101,0)),0))</f>
        <v/>
      </c>
      <c r="R447" s="44">
        <f>IF(K447="Delivered",N(O447)+N(M447)-N(N447)-N(P447)-N(Q447),IF(OR(K447="Returned",K447="Failed delivery"),-N(N447),""))</f>
        <v/>
      </c>
      <c r="S447">
        <f>IF(E447="","",IF(MATCH(E447,$E$2:E447,0)&lt;ROWS($E$2:E447),"Repeat","New"))</f>
        <v/>
      </c>
      <c r="T447" s="34" t="n"/>
    </row>
    <row r="448">
      <c r="A448" s="34" t="n"/>
      <c r="B448" s="45" t="n"/>
      <c r="C448" s="34" t="n"/>
      <c r="D448" s="34" t="n"/>
      <c r="E448" s="47" t="n"/>
      <c r="F448" s="34" t="n"/>
      <c r="G448" s="34" t="n"/>
      <c r="H448" s="34" t="n"/>
      <c r="I448" s="36" t="n"/>
      <c r="J448" s="46">
        <f>IF(G448="","",IFERROR(INDEX(Products!$B$2:$B$101,MATCH(G448,Products!$A$2:$A$101,0)),"Unknown SKU"))</f>
        <v/>
      </c>
      <c r="K448" s="34" t="n"/>
      <c r="L448" s="34" t="n"/>
      <c r="M448" s="36" t="n"/>
      <c r="N448" s="36" t="n"/>
      <c r="O448" s="44">
        <f>IF(OR(H448="",I448=""),"",H448*I448)</f>
        <v/>
      </c>
      <c r="P448" s="44">
        <f>IF(O448="","",O448*IFERROR(INDEX(Settings!$B$8:$B$15,MATCH(C448,Settings!$A$8:$A$15,0)),0))</f>
        <v/>
      </c>
      <c r="Q448" s="44">
        <f>IF(OR(G448="",H448=""),"",H448*IFERROR(INDEX(Products!$J$2:$J$101,MATCH(G448,Products!$A$2:$A$101,0)),0))</f>
        <v/>
      </c>
      <c r="R448" s="44">
        <f>IF(K448="Delivered",N(O448)+N(M448)-N(N448)-N(P448)-N(Q448),IF(OR(K448="Returned",K448="Failed delivery"),-N(N448),""))</f>
        <v/>
      </c>
      <c r="S448">
        <f>IF(E448="","",IF(MATCH(E448,$E$2:E448,0)&lt;ROWS($E$2:E448),"Repeat","New"))</f>
        <v/>
      </c>
      <c r="T448" s="34" t="n"/>
    </row>
    <row r="449">
      <c r="A449" s="34" t="n"/>
      <c r="B449" s="45" t="n"/>
      <c r="C449" s="34" t="n"/>
      <c r="D449" s="34" t="n"/>
      <c r="E449" s="47" t="n"/>
      <c r="F449" s="34" t="n"/>
      <c r="G449" s="34" t="n"/>
      <c r="H449" s="34" t="n"/>
      <c r="I449" s="36" t="n"/>
      <c r="J449" s="46">
        <f>IF(G449="","",IFERROR(INDEX(Products!$B$2:$B$101,MATCH(G449,Products!$A$2:$A$101,0)),"Unknown SKU"))</f>
        <v/>
      </c>
      <c r="K449" s="34" t="n"/>
      <c r="L449" s="34" t="n"/>
      <c r="M449" s="36" t="n"/>
      <c r="N449" s="36" t="n"/>
      <c r="O449" s="44">
        <f>IF(OR(H449="",I449=""),"",H449*I449)</f>
        <v/>
      </c>
      <c r="P449" s="44">
        <f>IF(O449="","",O449*IFERROR(INDEX(Settings!$B$8:$B$15,MATCH(C449,Settings!$A$8:$A$15,0)),0))</f>
        <v/>
      </c>
      <c r="Q449" s="44">
        <f>IF(OR(G449="",H449=""),"",H449*IFERROR(INDEX(Products!$J$2:$J$101,MATCH(G449,Products!$A$2:$A$101,0)),0))</f>
        <v/>
      </c>
      <c r="R449" s="44">
        <f>IF(K449="Delivered",N(O449)+N(M449)-N(N449)-N(P449)-N(Q449),IF(OR(K449="Returned",K449="Failed delivery"),-N(N449),""))</f>
        <v/>
      </c>
      <c r="S449">
        <f>IF(E449="","",IF(MATCH(E449,$E$2:E449,0)&lt;ROWS($E$2:E449),"Repeat","New"))</f>
        <v/>
      </c>
      <c r="T449" s="34" t="n"/>
    </row>
    <row r="450">
      <c r="A450" s="34" t="n"/>
      <c r="B450" s="45" t="n"/>
      <c r="C450" s="34" t="n"/>
      <c r="D450" s="34" t="n"/>
      <c r="E450" s="47" t="n"/>
      <c r="F450" s="34" t="n"/>
      <c r="G450" s="34" t="n"/>
      <c r="H450" s="34" t="n"/>
      <c r="I450" s="36" t="n"/>
      <c r="J450" s="46">
        <f>IF(G450="","",IFERROR(INDEX(Products!$B$2:$B$101,MATCH(G450,Products!$A$2:$A$101,0)),"Unknown SKU"))</f>
        <v/>
      </c>
      <c r="K450" s="34" t="n"/>
      <c r="L450" s="34" t="n"/>
      <c r="M450" s="36" t="n"/>
      <c r="N450" s="36" t="n"/>
      <c r="O450" s="44">
        <f>IF(OR(H450="",I450=""),"",H450*I450)</f>
        <v/>
      </c>
      <c r="P450" s="44">
        <f>IF(O450="","",O450*IFERROR(INDEX(Settings!$B$8:$B$15,MATCH(C450,Settings!$A$8:$A$15,0)),0))</f>
        <v/>
      </c>
      <c r="Q450" s="44">
        <f>IF(OR(G450="",H450=""),"",H450*IFERROR(INDEX(Products!$J$2:$J$101,MATCH(G450,Products!$A$2:$A$101,0)),0))</f>
        <v/>
      </c>
      <c r="R450" s="44">
        <f>IF(K450="Delivered",N(O450)+N(M450)-N(N450)-N(P450)-N(Q450),IF(OR(K450="Returned",K450="Failed delivery"),-N(N450),""))</f>
        <v/>
      </c>
      <c r="S450">
        <f>IF(E450="","",IF(MATCH(E450,$E$2:E450,0)&lt;ROWS($E$2:E450),"Repeat","New"))</f>
        <v/>
      </c>
      <c r="T450" s="34" t="n"/>
    </row>
    <row r="451">
      <c r="A451" s="34" t="n"/>
      <c r="B451" s="45" t="n"/>
      <c r="C451" s="34" t="n"/>
      <c r="D451" s="34" t="n"/>
      <c r="E451" s="47" t="n"/>
      <c r="F451" s="34" t="n"/>
      <c r="G451" s="34" t="n"/>
      <c r="H451" s="34" t="n"/>
      <c r="I451" s="36" t="n"/>
      <c r="J451" s="46">
        <f>IF(G451="","",IFERROR(INDEX(Products!$B$2:$B$101,MATCH(G451,Products!$A$2:$A$101,0)),"Unknown SKU"))</f>
        <v/>
      </c>
      <c r="K451" s="34" t="n"/>
      <c r="L451" s="34" t="n"/>
      <c r="M451" s="36" t="n"/>
      <c r="N451" s="36" t="n"/>
      <c r="O451" s="44">
        <f>IF(OR(H451="",I451=""),"",H451*I451)</f>
        <v/>
      </c>
      <c r="P451" s="44">
        <f>IF(O451="","",O451*IFERROR(INDEX(Settings!$B$8:$B$15,MATCH(C451,Settings!$A$8:$A$15,0)),0))</f>
        <v/>
      </c>
      <c r="Q451" s="44">
        <f>IF(OR(G451="",H451=""),"",H451*IFERROR(INDEX(Products!$J$2:$J$101,MATCH(G451,Products!$A$2:$A$101,0)),0))</f>
        <v/>
      </c>
      <c r="R451" s="44">
        <f>IF(K451="Delivered",N(O451)+N(M451)-N(N451)-N(P451)-N(Q451),IF(OR(K451="Returned",K451="Failed delivery"),-N(N451),""))</f>
        <v/>
      </c>
      <c r="S451">
        <f>IF(E451="","",IF(MATCH(E451,$E$2:E451,0)&lt;ROWS($E$2:E451),"Repeat","New"))</f>
        <v/>
      </c>
      <c r="T451" s="34" t="n"/>
    </row>
    <row r="452">
      <c r="A452" s="34" t="n"/>
      <c r="B452" s="45" t="n"/>
      <c r="C452" s="34" t="n"/>
      <c r="D452" s="34" t="n"/>
      <c r="E452" s="47" t="n"/>
      <c r="F452" s="34" t="n"/>
      <c r="G452" s="34" t="n"/>
      <c r="H452" s="34" t="n"/>
      <c r="I452" s="36" t="n"/>
      <c r="J452" s="46">
        <f>IF(G452="","",IFERROR(INDEX(Products!$B$2:$B$101,MATCH(G452,Products!$A$2:$A$101,0)),"Unknown SKU"))</f>
        <v/>
      </c>
      <c r="K452" s="34" t="n"/>
      <c r="L452" s="34" t="n"/>
      <c r="M452" s="36" t="n"/>
      <c r="N452" s="36" t="n"/>
      <c r="O452" s="44">
        <f>IF(OR(H452="",I452=""),"",H452*I452)</f>
        <v/>
      </c>
      <c r="P452" s="44">
        <f>IF(O452="","",O452*IFERROR(INDEX(Settings!$B$8:$B$15,MATCH(C452,Settings!$A$8:$A$15,0)),0))</f>
        <v/>
      </c>
      <c r="Q452" s="44">
        <f>IF(OR(G452="",H452=""),"",H452*IFERROR(INDEX(Products!$J$2:$J$101,MATCH(G452,Products!$A$2:$A$101,0)),0))</f>
        <v/>
      </c>
      <c r="R452" s="44">
        <f>IF(K452="Delivered",N(O452)+N(M452)-N(N452)-N(P452)-N(Q452),IF(OR(K452="Returned",K452="Failed delivery"),-N(N452),""))</f>
        <v/>
      </c>
      <c r="S452">
        <f>IF(E452="","",IF(MATCH(E452,$E$2:E452,0)&lt;ROWS($E$2:E452),"Repeat","New"))</f>
        <v/>
      </c>
      <c r="T452" s="34" t="n"/>
    </row>
    <row r="453">
      <c r="A453" s="34" t="n"/>
      <c r="B453" s="45" t="n"/>
      <c r="C453" s="34" t="n"/>
      <c r="D453" s="34" t="n"/>
      <c r="E453" s="47" t="n"/>
      <c r="F453" s="34" t="n"/>
      <c r="G453" s="34" t="n"/>
      <c r="H453" s="34" t="n"/>
      <c r="I453" s="36" t="n"/>
      <c r="J453" s="46">
        <f>IF(G453="","",IFERROR(INDEX(Products!$B$2:$B$101,MATCH(G453,Products!$A$2:$A$101,0)),"Unknown SKU"))</f>
        <v/>
      </c>
      <c r="K453" s="34" t="n"/>
      <c r="L453" s="34" t="n"/>
      <c r="M453" s="36" t="n"/>
      <c r="N453" s="36" t="n"/>
      <c r="O453" s="44">
        <f>IF(OR(H453="",I453=""),"",H453*I453)</f>
        <v/>
      </c>
      <c r="P453" s="44">
        <f>IF(O453="","",O453*IFERROR(INDEX(Settings!$B$8:$B$15,MATCH(C453,Settings!$A$8:$A$15,0)),0))</f>
        <v/>
      </c>
      <c r="Q453" s="44">
        <f>IF(OR(G453="",H453=""),"",H453*IFERROR(INDEX(Products!$J$2:$J$101,MATCH(G453,Products!$A$2:$A$101,0)),0))</f>
        <v/>
      </c>
      <c r="R453" s="44">
        <f>IF(K453="Delivered",N(O453)+N(M453)-N(N453)-N(P453)-N(Q453),IF(OR(K453="Returned",K453="Failed delivery"),-N(N453),""))</f>
        <v/>
      </c>
      <c r="S453">
        <f>IF(E453="","",IF(MATCH(E453,$E$2:E453,0)&lt;ROWS($E$2:E453),"Repeat","New"))</f>
        <v/>
      </c>
      <c r="T453" s="34" t="n"/>
    </row>
    <row r="454">
      <c r="A454" s="34" t="n"/>
      <c r="B454" s="45" t="n"/>
      <c r="C454" s="34" t="n"/>
      <c r="D454" s="34" t="n"/>
      <c r="E454" s="47" t="n"/>
      <c r="F454" s="34" t="n"/>
      <c r="G454" s="34" t="n"/>
      <c r="H454" s="34" t="n"/>
      <c r="I454" s="36" t="n"/>
      <c r="J454" s="46">
        <f>IF(G454="","",IFERROR(INDEX(Products!$B$2:$B$101,MATCH(G454,Products!$A$2:$A$101,0)),"Unknown SKU"))</f>
        <v/>
      </c>
      <c r="K454" s="34" t="n"/>
      <c r="L454" s="34" t="n"/>
      <c r="M454" s="36" t="n"/>
      <c r="N454" s="36" t="n"/>
      <c r="O454" s="44">
        <f>IF(OR(H454="",I454=""),"",H454*I454)</f>
        <v/>
      </c>
      <c r="P454" s="44">
        <f>IF(O454="","",O454*IFERROR(INDEX(Settings!$B$8:$B$15,MATCH(C454,Settings!$A$8:$A$15,0)),0))</f>
        <v/>
      </c>
      <c r="Q454" s="44">
        <f>IF(OR(G454="",H454=""),"",H454*IFERROR(INDEX(Products!$J$2:$J$101,MATCH(G454,Products!$A$2:$A$101,0)),0))</f>
        <v/>
      </c>
      <c r="R454" s="44">
        <f>IF(K454="Delivered",N(O454)+N(M454)-N(N454)-N(P454)-N(Q454),IF(OR(K454="Returned",K454="Failed delivery"),-N(N454),""))</f>
        <v/>
      </c>
      <c r="S454">
        <f>IF(E454="","",IF(MATCH(E454,$E$2:E454,0)&lt;ROWS($E$2:E454),"Repeat","New"))</f>
        <v/>
      </c>
      <c r="T454" s="34" t="n"/>
    </row>
    <row r="455">
      <c r="A455" s="34" t="n"/>
      <c r="B455" s="45" t="n"/>
      <c r="C455" s="34" t="n"/>
      <c r="D455" s="34" t="n"/>
      <c r="E455" s="47" t="n"/>
      <c r="F455" s="34" t="n"/>
      <c r="G455" s="34" t="n"/>
      <c r="H455" s="34" t="n"/>
      <c r="I455" s="36" t="n"/>
      <c r="J455" s="46">
        <f>IF(G455="","",IFERROR(INDEX(Products!$B$2:$B$101,MATCH(G455,Products!$A$2:$A$101,0)),"Unknown SKU"))</f>
        <v/>
      </c>
      <c r="K455" s="34" t="n"/>
      <c r="L455" s="34" t="n"/>
      <c r="M455" s="36" t="n"/>
      <c r="N455" s="36" t="n"/>
      <c r="O455" s="44">
        <f>IF(OR(H455="",I455=""),"",H455*I455)</f>
        <v/>
      </c>
      <c r="P455" s="44">
        <f>IF(O455="","",O455*IFERROR(INDEX(Settings!$B$8:$B$15,MATCH(C455,Settings!$A$8:$A$15,0)),0))</f>
        <v/>
      </c>
      <c r="Q455" s="44">
        <f>IF(OR(G455="",H455=""),"",H455*IFERROR(INDEX(Products!$J$2:$J$101,MATCH(G455,Products!$A$2:$A$101,0)),0))</f>
        <v/>
      </c>
      <c r="R455" s="44">
        <f>IF(K455="Delivered",N(O455)+N(M455)-N(N455)-N(P455)-N(Q455),IF(OR(K455="Returned",K455="Failed delivery"),-N(N455),""))</f>
        <v/>
      </c>
      <c r="S455">
        <f>IF(E455="","",IF(MATCH(E455,$E$2:E455,0)&lt;ROWS($E$2:E455),"Repeat","New"))</f>
        <v/>
      </c>
      <c r="T455" s="34" t="n"/>
    </row>
    <row r="456">
      <c r="A456" s="34" t="n"/>
      <c r="B456" s="45" t="n"/>
      <c r="C456" s="34" t="n"/>
      <c r="D456" s="34" t="n"/>
      <c r="E456" s="47" t="n"/>
      <c r="F456" s="34" t="n"/>
      <c r="G456" s="34" t="n"/>
      <c r="H456" s="34" t="n"/>
      <c r="I456" s="36" t="n"/>
      <c r="J456" s="46">
        <f>IF(G456="","",IFERROR(INDEX(Products!$B$2:$B$101,MATCH(G456,Products!$A$2:$A$101,0)),"Unknown SKU"))</f>
        <v/>
      </c>
      <c r="K456" s="34" t="n"/>
      <c r="L456" s="34" t="n"/>
      <c r="M456" s="36" t="n"/>
      <c r="N456" s="36" t="n"/>
      <c r="O456" s="44">
        <f>IF(OR(H456="",I456=""),"",H456*I456)</f>
        <v/>
      </c>
      <c r="P456" s="44">
        <f>IF(O456="","",O456*IFERROR(INDEX(Settings!$B$8:$B$15,MATCH(C456,Settings!$A$8:$A$15,0)),0))</f>
        <v/>
      </c>
      <c r="Q456" s="44">
        <f>IF(OR(G456="",H456=""),"",H456*IFERROR(INDEX(Products!$J$2:$J$101,MATCH(G456,Products!$A$2:$A$101,0)),0))</f>
        <v/>
      </c>
      <c r="R456" s="44">
        <f>IF(K456="Delivered",N(O456)+N(M456)-N(N456)-N(P456)-N(Q456),IF(OR(K456="Returned",K456="Failed delivery"),-N(N456),""))</f>
        <v/>
      </c>
      <c r="S456">
        <f>IF(E456="","",IF(MATCH(E456,$E$2:E456,0)&lt;ROWS($E$2:E456),"Repeat","New"))</f>
        <v/>
      </c>
      <c r="T456" s="34" t="n"/>
    </row>
    <row r="457">
      <c r="A457" s="34" t="n"/>
      <c r="B457" s="45" t="n"/>
      <c r="C457" s="34" t="n"/>
      <c r="D457" s="34" t="n"/>
      <c r="E457" s="47" t="n"/>
      <c r="F457" s="34" t="n"/>
      <c r="G457" s="34" t="n"/>
      <c r="H457" s="34" t="n"/>
      <c r="I457" s="36" t="n"/>
      <c r="J457" s="46">
        <f>IF(G457="","",IFERROR(INDEX(Products!$B$2:$B$101,MATCH(G457,Products!$A$2:$A$101,0)),"Unknown SKU"))</f>
        <v/>
      </c>
      <c r="K457" s="34" t="n"/>
      <c r="L457" s="34" t="n"/>
      <c r="M457" s="36" t="n"/>
      <c r="N457" s="36" t="n"/>
      <c r="O457" s="44">
        <f>IF(OR(H457="",I457=""),"",H457*I457)</f>
        <v/>
      </c>
      <c r="P457" s="44">
        <f>IF(O457="","",O457*IFERROR(INDEX(Settings!$B$8:$B$15,MATCH(C457,Settings!$A$8:$A$15,0)),0))</f>
        <v/>
      </c>
      <c r="Q457" s="44">
        <f>IF(OR(G457="",H457=""),"",H457*IFERROR(INDEX(Products!$J$2:$J$101,MATCH(G457,Products!$A$2:$A$101,0)),0))</f>
        <v/>
      </c>
      <c r="R457" s="44">
        <f>IF(K457="Delivered",N(O457)+N(M457)-N(N457)-N(P457)-N(Q457),IF(OR(K457="Returned",K457="Failed delivery"),-N(N457),""))</f>
        <v/>
      </c>
      <c r="S457">
        <f>IF(E457="","",IF(MATCH(E457,$E$2:E457,0)&lt;ROWS($E$2:E457),"Repeat","New"))</f>
        <v/>
      </c>
      <c r="T457" s="34" t="n"/>
    </row>
    <row r="458">
      <c r="A458" s="34" t="n"/>
      <c r="B458" s="45" t="n"/>
      <c r="C458" s="34" t="n"/>
      <c r="D458" s="34" t="n"/>
      <c r="E458" s="47" t="n"/>
      <c r="F458" s="34" t="n"/>
      <c r="G458" s="34" t="n"/>
      <c r="H458" s="34" t="n"/>
      <c r="I458" s="36" t="n"/>
      <c r="J458" s="46">
        <f>IF(G458="","",IFERROR(INDEX(Products!$B$2:$B$101,MATCH(G458,Products!$A$2:$A$101,0)),"Unknown SKU"))</f>
        <v/>
      </c>
      <c r="K458" s="34" t="n"/>
      <c r="L458" s="34" t="n"/>
      <c r="M458" s="36" t="n"/>
      <c r="N458" s="36" t="n"/>
      <c r="O458" s="44">
        <f>IF(OR(H458="",I458=""),"",H458*I458)</f>
        <v/>
      </c>
      <c r="P458" s="44">
        <f>IF(O458="","",O458*IFERROR(INDEX(Settings!$B$8:$B$15,MATCH(C458,Settings!$A$8:$A$15,0)),0))</f>
        <v/>
      </c>
      <c r="Q458" s="44">
        <f>IF(OR(G458="",H458=""),"",H458*IFERROR(INDEX(Products!$J$2:$J$101,MATCH(G458,Products!$A$2:$A$101,0)),0))</f>
        <v/>
      </c>
      <c r="R458" s="44">
        <f>IF(K458="Delivered",N(O458)+N(M458)-N(N458)-N(P458)-N(Q458),IF(OR(K458="Returned",K458="Failed delivery"),-N(N458),""))</f>
        <v/>
      </c>
      <c r="S458">
        <f>IF(E458="","",IF(MATCH(E458,$E$2:E458,0)&lt;ROWS($E$2:E458),"Repeat","New"))</f>
        <v/>
      </c>
      <c r="T458" s="34" t="n"/>
    </row>
    <row r="459">
      <c r="A459" s="34" t="n"/>
      <c r="B459" s="45" t="n"/>
      <c r="C459" s="34" t="n"/>
      <c r="D459" s="34" t="n"/>
      <c r="E459" s="47" t="n"/>
      <c r="F459" s="34" t="n"/>
      <c r="G459" s="34" t="n"/>
      <c r="H459" s="34" t="n"/>
      <c r="I459" s="36" t="n"/>
      <c r="J459" s="46">
        <f>IF(G459="","",IFERROR(INDEX(Products!$B$2:$B$101,MATCH(G459,Products!$A$2:$A$101,0)),"Unknown SKU"))</f>
        <v/>
      </c>
      <c r="K459" s="34" t="n"/>
      <c r="L459" s="34" t="n"/>
      <c r="M459" s="36" t="n"/>
      <c r="N459" s="36" t="n"/>
      <c r="O459" s="44">
        <f>IF(OR(H459="",I459=""),"",H459*I459)</f>
        <v/>
      </c>
      <c r="P459" s="44">
        <f>IF(O459="","",O459*IFERROR(INDEX(Settings!$B$8:$B$15,MATCH(C459,Settings!$A$8:$A$15,0)),0))</f>
        <v/>
      </c>
      <c r="Q459" s="44">
        <f>IF(OR(G459="",H459=""),"",H459*IFERROR(INDEX(Products!$J$2:$J$101,MATCH(G459,Products!$A$2:$A$101,0)),0))</f>
        <v/>
      </c>
      <c r="R459" s="44">
        <f>IF(K459="Delivered",N(O459)+N(M459)-N(N459)-N(P459)-N(Q459),IF(OR(K459="Returned",K459="Failed delivery"),-N(N459),""))</f>
        <v/>
      </c>
      <c r="S459">
        <f>IF(E459="","",IF(MATCH(E459,$E$2:E459,0)&lt;ROWS($E$2:E459),"Repeat","New"))</f>
        <v/>
      </c>
      <c r="T459" s="34" t="n"/>
    </row>
    <row r="460">
      <c r="A460" s="34" t="n"/>
      <c r="B460" s="45" t="n"/>
      <c r="C460" s="34" t="n"/>
      <c r="D460" s="34" t="n"/>
      <c r="E460" s="47" t="n"/>
      <c r="F460" s="34" t="n"/>
      <c r="G460" s="34" t="n"/>
      <c r="H460" s="34" t="n"/>
      <c r="I460" s="36" t="n"/>
      <c r="J460" s="46">
        <f>IF(G460="","",IFERROR(INDEX(Products!$B$2:$B$101,MATCH(G460,Products!$A$2:$A$101,0)),"Unknown SKU"))</f>
        <v/>
      </c>
      <c r="K460" s="34" t="n"/>
      <c r="L460" s="34" t="n"/>
      <c r="M460" s="36" t="n"/>
      <c r="N460" s="36" t="n"/>
      <c r="O460" s="44">
        <f>IF(OR(H460="",I460=""),"",H460*I460)</f>
        <v/>
      </c>
      <c r="P460" s="44">
        <f>IF(O460="","",O460*IFERROR(INDEX(Settings!$B$8:$B$15,MATCH(C460,Settings!$A$8:$A$15,0)),0))</f>
        <v/>
      </c>
      <c r="Q460" s="44">
        <f>IF(OR(G460="",H460=""),"",H460*IFERROR(INDEX(Products!$J$2:$J$101,MATCH(G460,Products!$A$2:$A$101,0)),0))</f>
        <v/>
      </c>
      <c r="R460" s="44">
        <f>IF(K460="Delivered",N(O460)+N(M460)-N(N460)-N(P460)-N(Q460),IF(OR(K460="Returned",K460="Failed delivery"),-N(N460),""))</f>
        <v/>
      </c>
      <c r="S460">
        <f>IF(E460="","",IF(MATCH(E460,$E$2:E460,0)&lt;ROWS($E$2:E460),"Repeat","New"))</f>
        <v/>
      </c>
      <c r="T460" s="34" t="n"/>
    </row>
    <row r="461">
      <c r="A461" s="34" t="n"/>
      <c r="B461" s="45" t="n"/>
      <c r="C461" s="34" t="n"/>
      <c r="D461" s="34" t="n"/>
      <c r="E461" s="47" t="n"/>
      <c r="F461" s="34" t="n"/>
      <c r="G461" s="34" t="n"/>
      <c r="H461" s="34" t="n"/>
      <c r="I461" s="36" t="n"/>
      <c r="J461" s="46">
        <f>IF(G461="","",IFERROR(INDEX(Products!$B$2:$B$101,MATCH(G461,Products!$A$2:$A$101,0)),"Unknown SKU"))</f>
        <v/>
      </c>
      <c r="K461" s="34" t="n"/>
      <c r="L461" s="34" t="n"/>
      <c r="M461" s="36" t="n"/>
      <c r="N461" s="36" t="n"/>
      <c r="O461" s="44">
        <f>IF(OR(H461="",I461=""),"",H461*I461)</f>
        <v/>
      </c>
      <c r="P461" s="44">
        <f>IF(O461="","",O461*IFERROR(INDEX(Settings!$B$8:$B$15,MATCH(C461,Settings!$A$8:$A$15,0)),0))</f>
        <v/>
      </c>
      <c r="Q461" s="44">
        <f>IF(OR(G461="",H461=""),"",H461*IFERROR(INDEX(Products!$J$2:$J$101,MATCH(G461,Products!$A$2:$A$101,0)),0))</f>
        <v/>
      </c>
      <c r="R461" s="44">
        <f>IF(K461="Delivered",N(O461)+N(M461)-N(N461)-N(P461)-N(Q461),IF(OR(K461="Returned",K461="Failed delivery"),-N(N461),""))</f>
        <v/>
      </c>
      <c r="S461">
        <f>IF(E461="","",IF(MATCH(E461,$E$2:E461,0)&lt;ROWS($E$2:E461),"Repeat","New"))</f>
        <v/>
      </c>
      <c r="T461" s="34" t="n"/>
    </row>
    <row r="462">
      <c r="A462" s="34" t="n"/>
      <c r="B462" s="45" t="n"/>
      <c r="C462" s="34" t="n"/>
      <c r="D462" s="34" t="n"/>
      <c r="E462" s="47" t="n"/>
      <c r="F462" s="34" t="n"/>
      <c r="G462" s="34" t="n"/>
      <c r="H462" s="34" t="n"/>
      <c r="I462" s="36" t="n"/>
      <c r="J462" s="46">
        <f>IF(G462="","",IFERROR(INDEX(Products!$B$2:$B$101,MATCH(G462,Products!$A$2:$A$101,0)),"Unknown SKU"))</f>
        <v/>
      </c>
      <c r="K462" s="34" t="n"/>
      <c r="L462" s="34" t="n"/>
      <c r="M462" s="36" t="n"/>
      <c r="N462" s="36" t="n"/>
      <c r="O462" s="44">
        <f>IF(OR(H462="",I462=""),"",H462*I462)</f>
        <v/>
      </c>
      <c r="P462" s="44">
        <f>IF(O462="","",O462*IFERROR(INDEX(Settings!$B$8:$B$15,MATCH(C462,Settings!$A$8:$A$15,0)),0))</f>
        <v/>
      </c>
      <c r="Q462" s="44">
        <f>IF(OR(G462="",H462=""),"",H462*IFERROR(INDEX(Products!$J$2:$J$101,MATCH(G462,Products!$A$2:$A$101,0)),0))</f>
        <v/>
      </c>
      <c r="R462" s="44">
        <f>IF(K462="Delivered",N(O462)+N(M462)-N(N462)-N(P462)-N(Q462),IF(OR(K462="Returned",K462="Failed delivery"),-N(N462),""))</f>
        <v/>
      </c>
      <c r="S462">
        <f>IF(E462="","",IF(MATCH(E462,$E$2:E462,0)&lt;ROWS($E$2:E462),"Repeat","New"))</f>
        <v/>
      </c>
      <c r="T462" s="34" t="n"/>
    </row>
    <row r="463">
      <c r="A463" s="34" t="n"/>
      <c r="B463" s="45" t="n"/>
      <c r="C463" s="34" t="n"/>
      <c r="D463" s="34" t="n"/>
      <c r="E463" s="47" t="n"/>
      <c r="F463" s="34" t="n"/>
      <c r="G463" s="34" t="n"/>
      <c r="H463" s="34" t="n"/>
      <c r="I463" s="36" t="n"/>
      <c r="J463" s="46">
        <f>IF(G463="","",IFERROR(INDEX(Products!$B$2:$B$101,MATCH(G463,Products!$A$2:$A$101,0)),"Unknown SKU"))</f>
        <v/>
      </c>
      <c r="K463" s="34" t="n"/>
      <c r="L463" s="34" t="n"/>
      <c r="M463" s="36" t="n"/>
      <c r="N463" s="36" t="n"/>
      <c r="O463" s="44">
        <f>IF(OR(H463="",I463=""),"",H463*I463)</f>
        <v/>
      </c>
      <c r="P463" s="44">
        <f>IF(O463="","",O463*IFERROR(INDEX(Settings!$B$8:$B$15,MATCH(C463,Settings!$A$8:$A$15,0)),0))</f>
        <v/>
      </c>
      <c r="Q463" s="44">
        <f>IF(OR(G463="",H463=""),"",H463*IFERROR(INDEX(Products!$J$2:$J$101,MATCH(G463,Products!$A$2:$A$101,0)),0))</f>
        <v/>
      </c>
      <c r="R463" s="44">
        <f>IF(K463="Delivered",N(O463)+N(M463)-N(N463)-N(P463)-N(Q463),IF(OR(K463="Returned",K463="Failed delivery"),-N(N463),""))</f>
        <v/>
      </c>
      <c r="S463">
        <f>IF(E463="","",IF(MATCH(E463,$E$2:E463,0)&lt;ROWS($E$2:E463),"Repeat","New"))</f>
        <v/>
      </c>
      <c r="T463" s="34" t="n"/>
    </row>
    <row r="464">
      <c r="A464" s="34" t="n"/>
      <c r="B464" s="45" t="n"/>
      <c r="C464" s="34" t="n"/>
      <c r="D464" s="34" t="n"/>
      <c r="E464" s="47" t="n"/>
      <c r="F464" s="34" t="n"/>
      <c r="G464" s="34" t="n"/>
      <c r="H464" s="34" t="n"/>
      <c r="I464" s="36" t="n"/>
      <c r="J464" s="46">
        <f>IF(G464="","",IFERROR(INDEX(Products!$B$2:$B$101,MATCH(G464,Products!$A$2:$A$101,0)),"Unknown SKU"))</f>
        <v/>
      </c>
      <c r="K464" s="34" t="n"/>
      <c r="L464" s="34" t="n"/>
      <c r="M464" s="36" t="n"/>
      <c r="N464" s="36" t="n"/>
      <c r="O464" s="44">
        <f>IF(OR(H464="",I464=""),"",H464*I464)</f>
        <v/>
      </c>
      <c r="P464" s="44">
        <f>IF(O464="","",O464*IFERROR(INDEX(Settings!$B$8:$B$15,MATCH(C464,Settings!$A$8:$A$15,0)),0))</f>
        <v/>
      </c>
      <c r="Q464" s="44">
        <f>IF(OR(G464="",H464=""),"",H464*IFERROR(INDEX(Products!$J$2:$J$101,MATCH(G464,Products!$A$2:$A$101,0)),0))</f>
        <v/>
      </c>
      <c r="R464" s="44">
        <f>IF(K464="Delivered",N(O464)+N(M464)-N(N464)-N(P464)-N(Q464),IF(OR(K464="Returned",K464="Failed delivery"),-N(N464),""))</f>
        <v/>
      </c>
      <c r="S464">
        <f>IF(E464="","",IF(MATCH(E464,$E$2:E464,0)&lt;ROWS($E$2:E464),"Repeat","New"))</f>
        <v/>
      </c>
      <c r="T464" s="34" t="n"/>
    </row>
    <row r="465">
      <c r="A465" s="34" t="n"/>
      <c r="B465" s="45" t="n"/>
      <c r="C465" s="34" t="n"/>
      <c r="D465" s="34" t="n"/>
      <c r="E465" s="47" t="n"/>
      <c r="F465" s="34" t="n"/>
      <c r="G465" s="34" t="n"/>
      <c r="H465" s="34" t="n"/>
      <c r="I465" s="36" t="n"/>
      <c r="J465" s="46">
        <f>IF(G465="","",IFERROR(INDEX(Products!$B$2:$B$101,MATCH(G465,Products!$A$2:$A$101,0)),"Unknown SKU"))</f>
        <v/>
      </c>
      <c r="K465" s="34" t="n"/>
      <c r="L465" s="34" t="n"/>
      <c r="M465" s="36" t="n"/>
      <c r="N465" s="36" t="n"/>
      <c r="O465" s="44">
        <f>IF(OR(H465="",I465=""),"",H465*I465)</f>
        <v/>
      </c>
      <c r="P465" s="44">
        <f>IF(O465="","",O465*IFERROR(INDEX(Settings!$B$8:$B$15,MATCH(C465,Settings!$A$8:$A$15,0)),0))</f>
        <v/>
      </c>
      <c r="Q465" s="44">
        <f>IF(OR(G465="",H465=""),"",H465*IFERROR(INDEX(Products!$J$2:$J$101,MATCH(G465,Products!$A$2:$A$101,0)),0))</f>
        <v/>
      </c>
      <c r="R465" s="44">
        <f>IF(K465="Delivered",N(O465)+N(M465)-N(N465)-N(P465)-N(Q465),IF(OR(K465="Returned",K465="Failed delivery"),-N(N465),""))</f>
        <v/>
      </c>
      <c r="S465">
        <f>IF(E465="","",IF(MATCH(E465,$E$2:E465,0)&lt;ROWS($E$2:E465),"Repeat","New"))</f>
        <v/>
      </c>
      <c r="T465" s="34" t="n"/>
    </row>
    <row r="466">
      <c r="A466" s="34" t="n"/>
      <c r="B466" s="45" t="n"/>
      <c r="C466" s="34" t="n"/>
      <c r="D466" s="34" t="n"/>
      <c r="E466" s="47" t="n"/>
      <c r="F466" s="34" t="n"/>
      <c r="G466" s="34" t="n"/>
      <c r="H466" s="34" t="n"/>
      <c r="I466" s="36" t="n"/>
      <c r="J466" s="46">
        <f>IF(G466="","",IFERROR(INDEX(Products!$B$2:$B$101,MATCH(G466,Products!$A$2:$A$101,0)),"Unknown SKU"))</f>
        <v/>
      </c>
      <c r="K466" s="34" t="n"/>
      <c r="L466" s="34" t="n"/>
      <c r="M466" s="36" t="n"/>
      <c r="N466" s="36" t="n"/>
      <c r="O466" s="44">
        <f>IF(OR(H466="",I466=""),"",H466*I466)</f>
        <v/>
      </c>
      <c r="P466" s="44">
        <f>IF(O466="","",O466*IFERROR(INDEX(Settings!$B$8:$B$15,MATCH(C466,Settings!$A$8:$A$15,0)),0))</f>
        <v/>
      </c>
      <c r="Q466" s="44">
        <f>IF(OR(G466="",H466=""),"",H466*IFERROR(INDEX(Products!$J$2:$J$101,MATCH(G466,Products!$A$2:$A$101,0)),0))</f>
        <v/>
      </c>
      <c r="R466" s="44">
        <f>IF(K466="Delivered",N(O466)+N(M466)-N(N466)-N(P466)-N(Q466),IF(OR(K466="Returned",K466="Failed delivery"),-N(N466),""))</f>
        <v/>
      </c>
      <c r="S466">
        <f>IF(E466="","",IF(MATCH(E466,$E$2:E466,0)&lt;ROWS($E$2:E466),"Repeat","New"))</f>
        <v/>
      </c>
      <c r="T466" s="34" t="n"/>
    </row>
    <row r="467">
      <c r="A467" s="34" t="n"/>
      <c r="B467" s="45" t="n"/>
      <c r="C467" s="34" t="n"/>
      <c r="D467" s="34" t="n"/>
      <c r="E467" s="47" t="n"/>
      <c r="F467" s="34" t="n"/>
      <c r="G467" s="34" t="n"/>
      <c r="H467" s="34" t="n"/>
      <c r="I467" s="36" t="n"/>
      <c r="J467" s="46">
        <f>IF(G467="","",IFERROR(INDEX(Products!$B$2:$B$101,MATCH(G467,Products!$A$2:$A$101,0)),"Unknown SKU"))</f>
        <v/>
      </c>
      <c r="K467" s="34" t="n"/>
      <c r="L467" s="34" t="n"/>
      <c r="M467" s="36" t="n"/>
      <c r="N467" s="36" t="n"/>
      <c r="O467" s="44">
        <f>IF(OR(H467="",I467=""),"",H467*I467)</f>
        <v/>
      </c>
      <c r="P467" s="44">
        <f>IF(O467="","",O467*IFERROR(INDEX(Settings!$B$8:$B$15,MATCH(C467,Settings!$A$8:$A$15,0)),0))</f>
        <v/>
      </c>
      <c r="Q467" s="44">
        <f>IF(OR(G467="",H467=""),"",H467*IFERROR(INDEX(Products!$J$2:$J$101,MATCH(G467,Products!$A$2:$A$101,0)),0))</f>
        <v/>
      </c>
      <c r="R467" s="44">
        <f>IF(K467="Delivered",N(O467)+N(M467)-N(N467)-N(P467)-N(Q467),IF(OR(K467="Returned",K467="Failed delivery"),-N(N467),""))</f>
        <v/>
      </c>
      <c r="S467">
        <f>IF(E467="","",IF(MATCH(E467,$E$2:E467,0)&lt;ROWS($E$2:E467),"Repeat","New"))</f>
        <v/>
      </c>
      <c r="T467" s="34" t="n"/>
    </row>
    <row r="468">
      <c r="A468" s="34" t="n"/>
      <c r="B468" s="45" t="n"/>
      <c r="C468" s="34" t="n"/>
      <c r="D468" s="34" t="n"/>
      <c r="E468" s="47" t="n"/>
      <c r="F468" s="34" t="n"/>
      <c r="G468" s="34" t="n"/>
      <c r="H468" s="34" t="n"/>
      <c r="I468" s="36" t="n"/>
      <c r="J468" s="46">
        <f>IF(G468="","",IFERROR(INDEX(Products!$B$2:$B$101,MATCH(G468,Products!$A$2:$A$101,0)),"Unknown SKU"))</f>
        <v/>
      </c>
      <c r="K468" s="34" t="n"/>
      <c r="L468" s="34" t="n"/>
      <c r="M468" s="36" t="n"/>
      <c r="N468" s="36" t="n"/>
      <c r="O468" s="44">
        <f>IF(OR(H468="",I468=""),"",H468*I468)</f>
        <v/>
      </c>
      <c r="P468" s="44">
        <f>IF(O468="","",O468*IFERROR(INDEX(Settings!$B$8:$B$15,MATCH(C468,Settings!$A$8:$A$15,0)),0))</f>
        <v/>
      </c>
      <c r="Q468" s="44">
        <f>IF(OR(G468="",H468=""),"",H468*IFERROR(INDEX(Products!$J$2:$J$101,MATCH(G468,Products!$A$2:$A$101,0)),0))</f>
        <v/>
      </c>
      <c r="R468" s="44">
        <f>IF(K468="Delivered",N(O468)+N(M468)-N(N468)-N(P468)-N(Q468),IF(OR(K468="Returned",K468="Failed delivery"),-N(N468),""))</f>
        <v/>
      </c>
      <c r="S468">
        <f>IF(E468="","",IF(MATCH(E468,$E$2:E468,0)&lt;ROWS($E$2:E468),"Repeat","New"))</f>
        <v/>
      </c>
      <c r="T468" s="34" t="n"/>
    </row>
    <row r="469">
      <c r="A469" s="34" t="n"/>
      <c r="B469" s="45" t="n"/>
      <c r="C469" s="34" t="n"/>
      <c r="D469" s="34" t="n"/>
      <c r="E469" s="47" t="n"/>
      <c r="F469" s="34" t="n"/>
      <c r="G469" s="34" t="n"/>
      <c r="H469" s="34" t="n"/>
      <c r="I469" s="36" t="n"/>
      <c r="J469" s="46">
        <f>IF(G469="","",IFERROR(INDEX(Products!$B$2:$B$101,MATCH(G469,Products!$A$2:$A$101,0)),"Unknown SKU"))</f>
        <v/>
      </c>
      <c r="K469" s="34" t="n"/>
      <c r="L469" s="34" t="n"/>
      <c r="M469" s="36" t="n"/>
      <c r="N469" s="36" t="n"/>
      <c r="O469" s="44">
        <f>IF(OR(H469="",I469=""),"",H469*I469)</f>
        <v/>
      </c>
      <c r="P469" s="44">
        <f>IF(O469="","",O469*IFERROR(INDEX(Settings!$B$8:$B$15,MATCH(C469,Settings!$A$8:$A$15,0)),0))</f>
        <v/>
      </c>
      <c r="Q469" s="44">
        <f>IF(OR(G469="",H469=""),"",H469*IFERROR(INDEX(Products!$J$2:$J$101,MATCH(G469,Products!$A$2:$A$101,0)),0))</f>
        <v/>
      </c>
      <c r="R469" s="44">
        <f>IF(K469="Delivered",N(O469)+N(M469)-N(N469)-N(P469)-N(Q469),IF(OR(K469="Returned",K469="Failed delivery"),-N(N469),""))</f>
        <v/>
      </c>
      <c r="S469">
        <f>IF(E469="","",IF(MATCH(E469,$E$2:E469,0)&lt;ROWS($E$2:E469),"Repeat","New"))</f>
        <v/>
      </c>
      <c r="T469" s="34" t="n"/>
    </row>
    <row r="470">
      <c r="A470" s="34" t="n"/>
      <c r="B470" s="45" t="n"/>
      <c r="C470" s="34" t="n"/>
      <c r="D470" s="34" t="n"/>
      <c r="E470" s="47" t="n"/>
      <c r="F470" s="34" t="n"/>
      <c r="G470" s="34" t="n"/>
      <c r="H470" s="34" t="n"/>
      <c r="I470" s="36" t="n"/>
      <c r="J470" s="46">
        <f>IF(G470="","",IFERROR(INDEX(Products!$B$2:$B$101,MATCH(G470,Products!$A$2:$A$101,0)),"Unknown SKU"))</f>
        <v/>
      </c>
      <c r="K470" s="34" t="n"/>
      <c r="L470" s="34" t="n"/>
      <c r="M470" s="36" t="n"/>
      <c r="N470" s="36" t="n"/>
      <c r="O470" s="44">
        <f>IF(OR(H470="",I470=""),"",H470*I470)</f>
        <v/>
      </c>
      <c r="P470" s="44">
        <f>IF(O470="","",O470*IFERROR(INDEX(Settings!$B$8:$B$15,MATCH(C470,Settings!$A$8:$A$15,0)),0))</f>
        <v/>
      </c>
      <c r="Q470" s="44">
        <f>IF(OR(G470="",H470=""),"",H470*IFERROR(INDEX(Products!$J$2:$J$101,MATCH(G470,Products!$A$2:$A$101,0)),0))</f>
        <v/>
      </c>
      <c r="R470" s="44">
        <f>IF(K470="Delivered",N(O470)+N(M470)-N(N470)-N(P470)-N(Q470),IF(OR(K470="Returned",K470="Failed delivery"),-N(N470),""))</f>
        <v/>
      </c>
      <c r="S470">
        <f>IF(E470="","",IF(MATCH(E470,$E$2:E470,0)&lt;ROWS($E$2:E470),"Repeat","New"))</f>
        <v/>
      </c>
      <c r="T470" s="34" t="n"/>
    </row>
    <row r="471">
      <c r="A471" s="34" t="n"/>
      <c r="B471" s="45" t="n"/>
      <c r="C471" s="34" t="n"/>
      <c r="D471" s="34" t="n"/>
      <c r="E471" s="47" t="n"/>
      <c r="F471" s="34" t="n"/>
      <c r="G471" s="34" t="n"/>
      <c r="H471" s="34" t="n"/>
      <c r="I471" s="36" t="n"/>
      <c r="J471" s="46">
        <f>IF(G471="","",IFERROR(INDEX(Products!$B$2:$B$101,MATCH(G471,Products!$A$2:$A$101,0)),"Unknown SKU"))</f>
        <v/>
      </c>
      <c r="K471" s="34" t="n"/>
      <c r="L471" s="34" t="n"/>
      <c r="M471" s="36" t="n"/>
      <c r="N471" s="36" t="n"/>
      <c r="O471" s="44">
        <f>IF(OR(H471="",I471=""),"",H471*I471)</f>
        <v/>
      </c>
      <c r="P471" s="44">
        <f>IF(O471="","",O471*IFERROR(INDEX(Settings!$B$8:$B$15,MATCH(C471,Settings!$A$8:$A$15,0)),0))</f>
        <v/>
      </c>
      <c r="Q471" s="44">
        <f>IF(OR(G471="",H471=""),"",H471*IFERROR(INDEX(Products!$J$2:$J$101,MATCH(G471,Products!$A$2:$A$101,0)),0))</f>
        <v/>
      </c>
      <c r="R471" s="44">
        <f>IF(K471="Delivered",N(O471)+N(M471)-N(N471)-N(P471)-N(Q471),IF(OR(K471="Returned",K471="Failed delivery"),-N(N471),""))</f>
        <v/>
      </c>
      <c r="S471">
        <f>IF(E471="","",IF(MATCH(E471,$E$2:E471,0)&lt;ROWS($E$2:E471),"Repeat","New"))</f>
        <v/>
      </c>
      <c r="T471" s="34" t="n"/>
    </row>
    <row r="472">
      <c r="A472" s="34" t="n"/>
      <c r="B472" s="45" t="n"/>
      <c r="C472" s="34" t="n"/>
      <c r="D472" s="34" t="n"/>
      <c r="E472" s="47" t="n"/>
      <c r="F472" s="34" t="n"/>
      <c r="G472" s="34" t="n"/>
      <c r="H472" s="34" t="n"/>
      <c r="I472" s="36" t="n"/>
      <c r="J472" s="46">
        <f>IF(G472="","",IFERROR(INDEX(Products!$B$2:$B$101,MATCH(G472,Products!$A$2:$A$101,0)),"Unknown SKU"))</f>
        <v/>
      </c>
      <c r="K472" s="34" t="n"/>
      <c r="L472" s="34" t="n"/>
      <c r="M472" s="36" t="n"/>
      <c r="N472" s="36" t="n"/>
      <c r="O472" s="44">
        <f>IF(OR(H472="",I472=""),"",H472*I472)</f>
        <v/>
      </c>
      <c r="P472" s="44">
        <f>IF(O472="","",O472*IFERROR(INDEX(Settings!$B$8:$B$15,MATCH(C472,Settings!$A$8:$A$15,0)),0))</f>
        <v/>
      </c>
      <c r="Q472" s="44">
        <f>IF(OR(G472="",H472=""),"",H472*IFERROR(INDEX(Products!$J$2:$J$101,MATCH(G472,Products!$A$2:$A$101,0)),0))</f>
        <v/>
      </c>
      <c r="R472" s="44">
        <f>IF(K472="Delivered",N(O472)+N(M472)-N(N472)-N(P472)-N(Q472),IF(OR(K472="Returned",K472="Failed delivery"),-N(N472),""))</f>
        <v/>
      </c>
      <c r="S472">
        <f>IF(E472="","",IF(MATCH(E472,$E$2:E472,0)&lt;ROWS($E$2:E472),"Repeat","New"))</f>
        <v/>
      </c>
      <c r="T472" s="34" t="n"/>
    </row>
    <row r="473">
      <c r="A473" s="34" t="n"/>
      <c r="B473" s="45" t="n"/>
      <c r="C473" s="34" t="n"/>
      <c r="D473" s="34" t="n"/>
      <c r="E473" s="47" t="n"/>
      <c r="F473" s="34" t="n"/>
      <c r="G473" s="34" t="n"/>
      <c r="H473" s="34" t="n"/>
      <c r="I473" s="36" t="n"/>
      <c r="J473" s="46">
        <f>IF(G473="","",IFERROR(INDEX(Products!$B$2:$B$101,MATCH(G473,Products!$A$2:$A$101,0)),"Unknown SKU"))</f>
        <v/>
      </c>
      <c r="K473" s="34" t="n"/>
      <c r="L473" s="34" t="n"/>
      <c r="M473" s="36" t="n"/>
      <c r="N473" s="36" t="n"/>
      <c r="O473" s="44">
        <f>IF(OR(H473="",I473=""),"",H473*I473)</f>
        <v/>
      </c>
      <c r="P473" s="44">
        <f>IF(O473="","",O473*IFERROR(INDEX(Settings!$B$8:$B$15,MATCH(C473,Settings!$A$8:$A$15,0)),0))</f>
        <v/>
      </c>
      <c r="Q473" s="44">
        <f>IF(OR(G473="",H473=""),"",H473*IFERROR(INDEX(Products!$J$2:$J$101,MATCH(G473,Products!$A$2:$A$101,0)),0))</f>
        <v/>
      </c>
      <c r="R473" s="44">
        <f>IF(K473="Delivered",N(O473)+N(M473)-N(N473)-N(P473)-N(Q473),IF(OR(K473="Returned",K473="Failed delivery"),-N(N473),""))</f>
        <v/>
      </c>
      <c r="S473">
        <f>IF(E473="","",IF(MATCH(E473,$E$2:E473,0)&lt;ROWS($E$2:E473),"Repeat","New"))</f>
        <v/>
      </c>
      <c r="T473" s="34" t="n"/>
    </row>
    <row r="474">
      <c r="A474" s="34" t="n"/>
      <c r="B474" s="45" t="n"/>
      <c r="C474" s="34" t="n"/>
      <c r="D474" s="34" t="n"/>
      <c r="E474" s="47" t="n"/>
      <c r="F474" s="34" t="n"/>
      <c r="G474" s="34" t="n"/>
      <c r="H474" s="34" t="n"/>
      <c r="I474" s="36" t="n"/>
      <c r="J474" s="46">
        <f>IF(G474="","",IFERROR(INDEX(Products!$B$2:$B$101,MATCH(G474,Products!$A$2:$A$101,0)),"Unknown SKU"))</f>
        <v/>
      </c>
      <c r="K474" s="34" t="n"/>
      <c r="L474" s="34" t="n"/>
      <c r="M474" s="36" t="n"/>
      <c r="N474" s="36" t="n"/>
      <c r="O474" s="44">
        <f>IF(OR(H474="",I474=""),"",H474*I474)</f>
        <v/>
      </c>
      <c r="P474" s="44">
        <f>IF(O474="","",O474*IFERROR(INDEX(Settings!$B$8:$B$15,MATCH(C474,Settings!$A$8:$A$15,0)),0))</f>
        <v/>
      </c>
      <c r="Q474" s="44">
        <f>IF(OR(G474="",H474=""),"",H474*IFERROR(INDEX(Products!$J$2:$J$101,MATCH(G474,Products!$A$2:$A$101,0)),0))</f>
        <v/>
      </c>
      <c r="R474" s="44">
        <f>IF(K474="Delivered",N(O474)+N(M474)-N(N474)-N(P474)-N(Q474),IF(OR(K474="Returned",K474="Failed delivery"),-N(N474),""))</f>
        <v/>
      </c>
      <c r="S474">
        <f>IF(E474="","",IF(MATCH(E474,$E$2:E474,0)&lt;ROWS($E$2:E474),"Repeat","New"))</f>
        <v/>
      </c>
      <c r="T474" s="34" t="n"/>
    </row>
    <row r="475">
      <c r="A475" s="34" t="n"/>
      <c r="B475" s="45" t="n"/>
      <c r="C475" s="34" t="n"/>
      <c r="D475" s="34" t="n"/>
      <c r="E475" s="47" t="n"/>
      <c r="F475" s="34" t="n"/>
      <c r="G475" s="34" t="n"/>
      <c r="H475" s="34" t="n"/>
      <c r="I475" s="36" t="n"/>
      <c r="J475" s="46">
        <f>IF(G475="","",IFERROR(INDEX(Products!$B$2:$B$101,MATCH(G475,Products!$A$2:$A$101,0)),"Unknown SKU"))</f>
        <v/>
      </c>
      <c r="K475" s="34" t="n"/>
      <c r="L475" s="34" t="n"/>
      <c r="M475" s="36" t="n"/>
      <c r="N475" s="36" t="n"/>
      <c r="O475" s="44">
        <f>IF(OR(H475="",I475=""),"",H475*I475)</f>
        <v/>
      </c>
      <c r="P475" s="44">
        <f>IF(O475="","",O475*IFERROR(INDEX(Settings!$B$8:$B$15,MATCH(C475,Settings!$A$8:$A$15,0)),0))</f>
        <v/>
      </c>
      <c r="Q475" s="44">
        <f>IF(OR(G475="",H475=""),"",H475*IFERROR(INDEX(Products!$J$2:$J$101,MATCH(G475,Products!$A$2:$A$101,0)),0))</f>
        <v/>
      </c>
      <c r="R475" s="44">
        <f>IF(K475="Delivered",N(O475)+N(M475)-N(N475)-N(P475)-N(Q475),IF(OR(K475="Returned",K475="Failed delivery"),-N(N475),""))</f>
        <v/>
      </c>
      <c r="S475">
        <f>IF(E475="","",IF(MATCH(E475,$E$2:E475,0)&lt;ROWS($E$2:E475),"Repeat","New"))</f>
        <v/>
      </c>
      <c r="T475" s="34" t="n"/>
    </row>
    <row r="476">
      <c r="A476" s="34" t="n"/>
      <c r="B476" s="45" t="n"/>
      <c r="C476" s="34" t="n"/>
      <c r="D476" s="34" t="n"/>
      <c r="E476" s="47" t="n"/>
      <c r="F476" s="34" t="n"/>
      <c r="G476" s="34" t="n"/>
      <c r="H476" s="34" t="n"/>
      <c r="I476" s="36" t="n"/>
      <c r="J476" s="46">
        <f>IF(G476="","",IFERROR(INDEX(Products!$B$2:$B$101,MATCH(G476,Products!$A$2:$A$101,0)),"Unknown SKU"))</f>
        <v/>
      </c>
      <c r="K476" s="34" t="n"/>
      <c r="L476" s="34" t="n"/>
      <c r="M476" s="36" t="n"/>
      <c r="N476" s="36" t="n"/>
      <c r="O476" s="44">
        <f>IF(OR(H476="",I476=""),"",H476*I476)</f>
        <v/>
      </c>
      <c r="P476" s="44">
        <f>IF(O476="","",O476*IFERROR(INDEX(Settings!$B$8:$B$15,MATCH(C476,Settings!$A$8:$A$15,0)),0))</f>
        <v/>
      </c>
      <c r="Q476" s="44">
        <f>IF(OR(G476="",H476=""),"",H476*IFERROR(INDEX(Products!$J$2:$J$101,MATCH(G476,Products!$A$2:$A$101,0)),0))</f>
        <v/>
      </c>
      <c r="R476" s="44">
        <f>IF(K476="Delivered",N(O476)+N(M476)-N(N476)-N(P476)-N(Q476),IF(OR(K476="Returned",K476="Failed delivery"),-N(N476),""))</f>
        <v/>
      </c>
      <c r="S476">
        <f>IF(E476="","",IF(MATCH(E476,$E$2:E476,0)&lt;ROWS($E$2:E476),"Repeat","New"))</f>
        <v/>
      </c>
      <c r="T476" s="34" t="n"/>
    </row>
    <row r="477">
      <c r="A477" s="34" t="n"/>
      <c r="B477" s="45" t="n"/>
      <c r="C477" s="34" t="n"/>
      <c r="D477" s="34" t="n"/>
      <c r="E477" s="47" t="n"/>
      <c r="F477" s="34" t="n"/>
      <c r="G477" s="34" t="n"/>
      <c r="H477" s="34" t="n"/>
      <c r="I477" s="36" t="n"/>
      <c r="J477" s="46">
        <f>IF(G477="","",IFERROR(INDEX(Products!$B$2:$B$101,MATCH(G477,Products!$A$2:$A$101,0)),"Unknown SKU"))</f>
        <v/>
      </c>
      <c r="K477" s="34" t="n"/>
      <c r="L477" s="34" t="n"/>
      <c r="M477" s="36" t="n"/>
      <c r="N477" s="36" t="n"/>
      <c r="O477" s="44">
        <f>IF(OR(H477="",I477=""),"",H477*I477)</f>
        <v/>
      </c>
      <c r="P477" s="44">
        <f>IF(O477="","",O477*IFERROR(INDEX(Settings!$B$8:$B$15,MATCH(C477,Settings!$A$8:$A$15,0)),0))</f>
        <v/>
      </c>
      <c r="Q477" s="44">
        <f>IF(OR(G477="",H477=""),"",H477*IFERROR(INDEX(Products!$J$2:$J$101,MATCH(G477,Products!$A$2:$A$101,0)),0))</f>
        <v/>
      </c>
      <c r="R477" s="44">
        <f>IF(K477="Delivered",N(O477)+N(M477)-N(N477)-N(P477)-N(Q477),IF(OR(K477="Returned",K477="Failed delivery"),-N(N477),""))</f>
        <v/>
      </c>
      <c r="S477">
        <f>IF(E477="","",IF(MATCH(E477,$E$2:E477,0)&lt;ROWS($E$2:E477),"Repeat","New"))</f>
        <v/>
      </c>
      <c r="T477" s="34" t="n"/>
    </row>
    <row r="478">
      <c r="A478" s="34" t="n"/>
      <c r="B478" s="45" t="n"/>
      <c r="C478" s="34" t="n"/>
      <c r="D478" s="34" t="n"/>
      <c r="E478" s="47" t="n"/>
      <c r="F478" s="34" t="n"/>
      <c r="G478" s="34" t="n"/>
      <c r="H478" s="34" t="n"/>
      <c r="I478" s="36" t="n"/>
      <c r="J478" s="46">
        <f>IF(G478="","",IFERROR(INDEX(Products!$B$2:$B$101,MATCH(G478,Products!$A$2:$A$101,0)),"Unknown SKU"))</f>
        <v/>
      </c>
      <c r="K478" s="34" t="n"/>
      <c r="L478" s="34" t="n"/>
      <c r="M478" s="36" t="n"/>
      <c r="N478" s="36" t="n"/>
      <c r="O478" s="44">
        <f>IF(OR(H478="",I478=""),"",H478*I478)</f>
        <v/>
      </c>
      <c r="P478" s="44">
        <f>IF(O478="","",O478*IFERROR(INDEX(Settings!$B$8:$B$15,MATCH(C478,Settings!$A$8:$A$15,0)),0))</f>
        <v/>
      </c>
      <c r="Q478" s="44">
        <f>IF(OR(G478="",H478=""),"",H478*IFERROR(INDEX(Products!$J$2:$J$101,MATCH(G478,Products!$A$2:$A$101,0)),0))</f>
        <v/>
      </c>
      <c r="R478" s="44">
        <f>IF(K478="Delivered",N(O478)+N(M478)-N(N478)-N(P478)-N(Q478),IF(OR(K478="Returned",K478="Failed delivery"),-N(N478),""))</f>
        <v/>
      </c>
      <c r="S478">
        <f>IF(E478="","",IF(MATCH(E478,$E$2:E478,0)&lt;ROWS($E$2:E478),"Repeat","New"))</f>
        <v/>
      </c>
      <c r="T478" s="34" t="n"/>
    </row>
    <row r="479">
      <c r="A479" s="34" t="n"/>
      <c r="B479" s="45" t="n"/>
      <c r="C479" s="34" t="n"/>
      <c r="D479" s="34" t="n"/>
      <c r="E479" s="47" t="n"/>
      <c r="F479" s="34" t="n"/>
      <c r="G479" s="34" t="n"/>
      <c r="H479" s="34" t="n"/>
      <c r="I479" s="36" t="n"/>
      <c r="J479" s="46">
        <f>IF(G479="","",IFERROR(INDEX(Products!$B$2:$B$101,MATCH(G479,Products!$A$2:$A$101,0)),"Unknown SKU"))</f>
        <v/>
      </c>
      <c r="K479" s="34" t="n"/>
      <c r="L479" s="34" t="n"/>
      <c r="M479" s="36" t="n"/>
      <c r="N479" s="36" t="n"/>
      <c r="O479" s="44">
        <f>IF(OR(H479="",I479=""),"",H479*I479)</f>
        <v/>
      </c>
      <c r="P479" s="44">
        <f>IF(O479="","",O479*IFERROR(INDEX(Settings!$B$8:$B$15,MATCH(C479,Settings!$A$8:$A$15,0)),0))</f>
        <v/>
      </c>
      <c r="Q479" s="44">
        <f>IF(OR(G479="",H479=""),"",H479*IFERROR(INDEX(Products!$J$2:$J$101,MATCH(G479,Products!$A$2:$A$101,0)),0))</f>
        <v/>
      </c>
      <c r="R479" s="44">
        <f>IF(K479="Delivered",N(O479)+N(M479)-N(N479)-N(P479)-N(Q479),IF(OR(K479="Returned",K479="Failed delivery"),-N(N479),""))</f>
        <v/>
      </c>
      <c r="S479">
        <f>IF(E479="","",IF(MATCH(E479,$E$2:E479,0)&lt;ROWS($E$2:E479),"Repeat","New"))</f>
        <v/>
      </c>
      <c r="T479" s="34" t="n"/>
    </row>
    <row r="480">
      <c r="A480" s="34" t="n"/>
      <c r="B480" s="45" t="n"/>
      <c r="C480" s="34" t="n"/>
      <c r="D480" s="34" t="n"/>
      <c r="E480" s="47" t="n"/>
      <c r="F480" s="34" t="n"/>
      <c r="G480" s="34" t="n"/>
      <c r="H480" s="34" t="n"/>
      <c r="I480" s="36" t="n"/>
      <c r="J480" s="46">
        <f>IF(G480="","",IFERROR(INDEX(Products!$B$2:$B$101,MATCH(G480,Products!$A$2:$A$101,0)),"Unknown SKU"))</f>
        <v/>
      </c>
      <c r="K480" s="34" t="n"/>
      <c r="L480" s="34" t="n"/>
      <c r="M480" s="36" t="n"/>
      <c r="N480" s="36" t="n"/>
      <c r="O480" s="44">
        <f>IF(OR(H480="",I480=""),"",H480*I480)</f>
        <v/>
      </c>
      <c r="P480" s="44">
        <f>IF(O480="","",O480*IFERROR(INDEX(Settings!$B$8:$B$15,MATCH(C480,Settings!$A$8:$A$15,0)),0))</f>
        <v/>
      </c>
      <c r="Q480" s="44">
        <f>IF(OR(G480="",H480=""),"",H480*IFERROR(INDEX(Products!$J$2:$J$101,MATCH(G480,Products!$A$2:$A$101,0)),0))</f>
        <v/>
      </c>
      <c r="R480" s="44">
        <f>IF(K480="Delivered",N(O480)+N(M480)-N(N480)-N(P480)-N(Q480),IF(OR(K480="Returned",K480="Failed delivery"),-N(N480),""))</f>
        <v/>
      </c>
      <c r="S480">
        <f>IF(E480="","",IF(MATCH(E480,$E$2:E480,0)&lt;ROWS($E$2:E480),"Repeat","New"))</f>
        <v/>
      </c>
      <c r="T480" s="34" t="n"/>
    </row>
    <row r="481">
      <c r="A481" s="34" t="n"/>
      <c r="B481" s="45" t="n"/>
      <c r="C481" s="34" t="n"/>
      <c r="D481" s="34" t="n"/>
      <c r="E481" s="47" t="n"/>
      <c r="F481" s="34" t="n"/>
      <c r="G481" s="34" t="n"/>
      <c r="H481" s="34" t="n"/>
      <c r="I481" s="36" t="n"/>
      <c r="J481" s="46">
        <f>IF(G481="","",IFERROR(INDEX(Products!$B$2:$B$101,MATCH(G481,Products!$A$2:$A$101,0)),"Unknown SKU"))</f>
        <v/>
      </c>
      <c r="K481" s="34" t="n"/>
      <c r="L481" s="34" t="n"/>
      <c r="M481" s="36" t="n"/>
      <c r="N481" s="36" t="n"/>
      <c r="O481" s="44">
        <f>IF(OR(H481="",I481=""),"",H481*I481)</f>
        <v/>
      </c>
      <c r="P481" s="44">
        <f>IF(O481="","",O481*IFERROR(INDEX(Settings!$B$8:$B$15,MATCH(C481,Settings!$A$8:$A$15,0)),0))</f>
        <v/>
      </c>
      <c r="Q481" s="44">
        <f>IF(OR(G481="",H481=""),"",H481*IFERROR(INDEX(Products!$J$2:$J$101,MATCH(G481,Products!$A$2:$A$101,0)),0))</f>
        <v/>
      </c>
      <c r="R481" s="44">
        <f>IF(K481="Delivered",N(O481)+N(M481)-N(N481)-N(P481)-N(Q481),IF(OR(K481="Returned",K481="Failed delivery"),-N(N481),""))</f>
        <v/>
      </c>
      <c r="S481">
        <f>IF(E481="","",IF(MATCH(E481,$E$2:E481,0)&lt;ROWS($E$2:E481),"Repeat","New"))</f>
        <v/>
      </c>
      <c r="T481" s="34" t="n"/>
    </row>
    <row r="482">
      <c r="A482" s="34" t="n"/>
      <c r="B482" s="45" t="n"/>
      <c r="C482" s="34" t="n"/>
      <c r="D482" s="34" t="n"/>
      <c r="E482" s="47" t="n"/>
      <c r="F482" s="34" t="n"/>
      <c r="G482" s="34" t="n"/>
      <c r="H482" s="34" t="n"/>
      <c r="I482" s="36" t="n"/>
      <c r="J482" s="46">
        <f>IF(G482="","",IFERROR(INDEX(Products!$B$2:$B$101,MATCH(G482,Products!$A$2:$A$101,0)),"Unknown SKU"))</f>
        <v/>
      </c>
      <c r="K482" s="34" t="n"/>
      <c r="L482" s="34" t="n"/>
      <c r="M482" s="36" t="n"/>
      <c r="N482" s="36" t="n"/>
      <c r="O482" s="44">
        <f>IF(OR(H482="",I482=""),"",H482*I482)</f>
        <v/>
      </c>
      <c r="P482" s="44">
        <f>IF(O482="","",O482*IFERROR(INDEX(Settings!$B$8:$B$15,MATCH(C482,Settings!$A$8:$A$15,0)),0))</f>
        <v/>
      </c>
      <c r="Q482" s="44">
        <f>IF(OR(G482="",H482=""),"",H482*IFERROR(INDEX(Products!$J$2:$J$101,MATCH(G482,Products!$A$2:$A$101,0)),0))</f>
        <v/>
      </c>
      <c r="R482" s="44">
        <f>IF(K482="Delivered",N(O482)+N(M482)-N(N482)-N(P482)-N(Q482),IF(OR(K482="Returned",K482="Failed delivery"),-N(N482),""))</f>
        <v/>
      </c>
      <c r="S482">
        <f>IF(E482="","",IF(MATCH(E482,$E$2:E482,0)&lt;ROWS($E$2:E482),"Repeat","New"))</f>
        <v/>
      </c>
      <c r="T482" s="34" t="n"/>
    </row>
    <row r="483">
      <c r="A483" s="34" t="n"/>
      <c r="B483" s="45" t="n"/>
      <c r="C483" s="34" t="n"/>
      <c r="D483" s="34" t="n"/>
      <c r="E483" s="47" t="n"/>
      <c r="F483" s="34" t="n"/>
      <c r="G483" s="34" t="n"/>
      <c r="H483" s="34" t="n"/>
      <c r="I483" s="36" t="n"/>
      <c r="J483" s="46">
        <f>IF(G483="","",IFERROR(INDEX(Products!$B$2:$B$101,MATCH(G483,Products!$A$2:$A$101,0)),"Unknown SKU"))</f>
        <v/>
      </c>
      <c r="K483" s="34" t="n"/>
      <c r="L483" s="34" t="n"/>
      <c r="M483" s="36" t="n"/>
      <c r="N483" s="36" t="n"/>
      <c r="O483" s="44">
        <f>IF(OR(H483="",I483=""),"",H483*I483)</f>
        <v/>
      </c>
      <c r="P483" s="44">
        <f>IF(O483="","",O483*IFERROR(INDEX(Settings!$B$8:$B$15,MATCH(C483,Settings!$A$8:$A$15,0)),0))</f>
        <v/>
      </c>
      <c r="Q483" s="44">
        <f>IF(OR(G483="",H483=""),"",H483*IFERROR(INDEX(Products!$J$2:$J$101,MATCH(G483,Products!$A$2:$A$101,0)),0))</f>
        <v/>
      </c>
      <c r="R483" s="44">
        <f>IF(K483="Delivered",N(O483)+N(M483)-N(N483)-N(P483)-N(Q483),IF(OR(K483="Returned",K483="Failed delivery"),-N(N483),""))</f>
        <v/>
      </c>
      <c r="S483">
        <f>IF(E483="","",IF(MATCH(E483,$E$2:E483,0)&lt;ROWS($E$2:E483),"Repeat","New"))</f>
        <v/>
      </c>
      <c r="T483" s="34" t="n"/>
    </row>
    <row r="484">
      <c r="A484" s="34" t="n"/>
      <c r="B484" s="45" t="n"/>
      <c r="C484" s="34" t="n"/>
      <c r="D484" s="34" t="n"/>
      <c r="E484" s="47" t="n"/>
      <c r="F484" s="34" t="n"/>
      <c r="G484" s="34" t="n"/>
      <c r="H484" s="34" t="n"/>
      <c r="I484" s="36" t="n"/>
      <c r="J484" s="46">
        <f>IF(G484="","",IFERROR(INDEX(Products!$B$2:$B$101,MATCH(G484,Products!$A$2:$A$101,0)),"Unknown SKU"))</f>
        <v/>
      </c>
      <c r="K484" s="34" t="n"/>
      <c r="L484" s="34" t="n"/>
      <c r="M484" s="36" t="n"/>
      <c r="N484" s="36" t="n"/>
      <c r="O484" s="44">
        <f>IF(OR(H484="",I484=""),"",H484*I484)</f>
        <v/>
      </c>
      <c r="P484" s="44">
        <f>IF(O484="","",O484*IFERROR(INDEX(Settings!$B$8:$B$15,MATCH(C484,Settings!$A$8:$A$15,0)),0))</f>
        <v/>
      </c>
      <c r="Q484" s="44">
        <f>IF(OR(G484="",H484=""),"",H484*IFERROR(INDEX(Products!$J$2:$J$101,MATCH(G484,Products!$A$2:$A$101,0)),0))</f>
        <v/>
      </c>
      <c r="R484" s="44">
        <f>IF(K484="Delivered",N(O484)+N(M484)-N(N484)-N(P484)-N(Q484),IF(OR(K484="Returned",K484="Failed delivery"),-N(N484),""))</f>
        <v/>
      </c>
      <c r="S484">
        <f>IF(E484="","",IF(MATCH(E484,$E$2:E484,0)&lt;ROWS($E$2:E484),"Repeat","New"))</f>
        <v/>
      </c>
      <c r="T484" s="34" t="n"/>
    </row>
    <row r="485">
      <c r="A485" s="34" t="n"/>
      <c r="B485" s="45" t="n"/>
      <c r="C485" s="34" t="n"/>
      <c r="D485" s="34" t="n"/>
      <c r="E485" s="47" t="n"/>
      <c r="F485" s="34" t="n"/>
      <c r="G485" s="34" t="n"/>
      <c r="H485" s="34" t="n"/>
      <c r="I485" s="36" t="n"/>
      <c r="J485" s="46">
        <f>IF(G485="","",IFERROR(INDEX(Products!$B$2:$B$101,MATCH(G485,Products!$A$2:$A$101,0)),"Unknown SKU"))</f>
        <v/>
      </c>
      <c r="K485" s="34" t="n"/>
      <c r="L485" s="34" t="n"/>
      <c r="M485" s="36" t="n"/>
      <c r="N485" s="36" t="n"/>
      <c r="O485" s="44">
        <f>IF(OR(H485="",I485=""),"",H485*I485)</f>
        <v/>
      </c>
      <c r="P485" s="44">
        <f>IF(O485="","",O485*IFERROR(INDEX(Settings!$B$8:$B$15,MATCH(C485,Settings!$A$8:$A$15,0)),0))</f>
        <v/>
      </c>
      <c r="Q485" s="44">
        <f>IF(OR(G485="",H485=""),"",H485*IFERROR(INDEX(Products!$J$2:$J$101,MATCH(G485,Products!$A$2:$A$101,0)),0))</f>
        <v/>
      </c>
      <c r="R485" s="44">
        <f>IF(K485="Delivered",N(O485)+N(M485)-N(N485)-N(P485)-N(Q485),IF(OR(K485="Returned",K485="Failed delivery"),-N(N485),""))</f>
        <v/>
      </c>
      <c r="S485">
        <f>IF(E485="","",IF(MATCH(E485,$E$2:E485,0)&lt;ROWS($E$2:E485),"Repeat","New"))</f>
        <v/>
      </c>
      <c r="T485" s="34" t="n"/>
    </row>
    <row r="486">
      <c r="A486" s="34" t="n"/>
      <c r="B486" s="45" t="n"/>
      <c r="C486" s="34" t="n"/>
      <c r="D486" s="34" t="n"/>
      <c r="E486" s="47" t="n"/>
      <c r="F486" s="34" t="n"/>
      <c r="G486" s="34" t="n"/>
      <c r="H486" s="34" t="n"/>
      <c r="I486" s="36" t="n"/>
      <c r="J486" s="46">
        <f>IF(G486="","",IFERROR(INDEX(Products!$B$2:$B$101,MATCH(G486,Products!$A$2:$A$101,0)),"Unknown SKU"))</f>
        <v/>
      </c>
      <c r="K486" s="34" t="n"/>
      <c r="L486" s="34" t="n"/>
      <c r="M486" s="36" t="n"/>
      <c r="N486" s="36" t="n"/>
      <c r="O486" s="44">
        <f>IF(OR(H486="",I486=""),"",H486*I486)</f>
        <v/>
      </c>
      <c r="P486" s="44">
        <f>IF(O486="","",O486*IFERROR(INDEX(Settings!$B$8:$B$15,MATCH(C486,Settings!$A$8:$A$15,0)),0))</f>
        <v/>
      </c>
      <c r="Q486" s="44">
        <f>IF(OR(G486="",H486=""),"",H486*IFERROR(INDEX(Products!$J$2:$J$101,MATCH(G486,Products!$A$2:$A$101,0)),0))</f>
        <v/>
      </c>
      <c r="R486" s="44">
        <f>IF(K486="Delivered",N(O486)+N(M486)-N(N486)-N(P486)-N(Q486),IF(OR(K486="Returned",K486="Failed delivery"),-N(N486),""))</f>
        <v/>
      </c>
      <c r="S486">
        <f>IF(E486="","",IF(MATCH(E486,$E$2:E486,0)&lt;ROWS($E$2:E486),"Repeat","New"))</f>
        <v/>
      </c>
      <c r="T486" s="34" t="n"/>
    </row>
    <row r="487">
      <c r="A487" s="34" t="n"/>
      <c r="B487" s="45" t="n"/>
      <c r="C487" s="34" t="n"/>
      <c r="D487" s="34" t="n"/>
      <c r="E487" s="47" t="n"/>
      <c r="F487" s="34" t="n"/>
      <c r="G487" s="34" t="n"/>
      <c r="H487" s="34" t="n"/>
      <c r="I487" s="36" t="n"/>
      <c r="J487" s="46">
        <f>IF(G487="","",IFERROR(INDEX(Products!$B$2:$B$101,MATCH(G487,Products!$A$2:$A$101,0)),"Unknown SKU"))</f>
        <v/>
      </c>
      <c r="K487" s="34" t="n"/>
      <c r="L487" s="34" t="n"/>
      <c r="M487" s="36" t="n"/>
      <c r="N487" s="36" t="n"/>
      <c r="O487" s="44">
        <f>IF(OR(H487="",I487=""),"",H487*I487)</f>
        <v/>
      </c>
      <c r="P487" s="44">
        <f>IF(O487="","",O487*IFERROR(INDEX(Settings!$B$8:$B$15,MATCH(C487,Settings!$A$8:$A$15,0)),0))</f>
        <v/>
      </c>
      <c r="Q487" s="44">
        <f>IF(OR(G487="",H487=""),"",H487*IFERROR(INDEX(Products!$J$2:$J$101,MATCH(G487,Products!$A$2:$A$101,0)),0))</f>
        <v/>
      </c>
      <c r="R487" s="44">
        <f>IF(K487="Delivered",N(O487)+N(M487)-N(N487)-N(P487)-N(Q487),IF(OR(K487="Returned",K487="Failed delivery"),-N(N487),""))</f>
        <v/>
      </c>
      <c r="S487">
        <f>IF(E487="","",IF(MATCH(E487,$E$2:E487,0)&lt;ROWS($E$2:E487),"Repeat","New"))</f>
        <v/>
      </c>
      <c r="T487" s="34" t="n"/>
    </row>
    <row r="488">
      <c r="A488" s="34" t="n"/>
      <c r="B488" s="45" t="n"/>
      <c r="C488" s="34" t="n"/>
      <c r="D488" s="34" t="n"/>
      <c r="E488" s="47" t="n"/>
      <c r="F488" s="34" t="n"/>
      <c r="G488" s="34" t="n"/>
      <c r="H488" s="34" t="n"/>
      <c r="I488" s="36" t="n"/>
      <c r="J488" s="46">
        <f>IF(G488="","",IFERROR(INDEX(Products!$B$2:$B$101,MATCH(G488,Products!$A$2:$A$101,0)),"Unknown SKU"))</f>
        <v/>
      </c>
      <c r="K488" s="34" t="n"/>
      <c r="L488" s="34" t="n"/>
      <c r="M488" s="36" t="n"/>
      <c r="N488" s="36" t="n"/>
      <c r="O488" s="44">
        <f>IF(OR(H488="",I488=""),"",H488*I488)</f>
        <v/>
      </c>
      <c r="P488" s="44">
        <f>IF(O488="","",O488*IFERROR(INDEX(Settings!$B$8:$B$15,MATCH(C488,Settings!$A$8:$A$15,0)),0))</f>
        <v/>
      </c>
      <c r="Q488" s="44">
        <f>IF(OR(G488="",H488=""),"",H488*IFERROR(INDEX(Products!$J$2:$J$101,MATCH(G488,Products!$A$2:$A$101,0)),0))</f>
        <v/>
      </c>
      <c r="R488" s="44">
        <f>IF(K488="Delivered",N(O488)+N(M488)-N(N488)-N(P488)-N(Q488),IF(OR(K488="Returned",K488="Failed delivery"),-N(N488),""))</f>
        <v/>
      </c>
      <c r="S488">
        <f>IF(E488="","",IF(MATCH(E488,$E$2:E488,0)&lt;ROWS($E$2:E488),"Repeat","New"))</f>
        <v/>
      </c>
      <c r="T488" s="34" t="n"/>
    </row>
    <row r="489">
      <c r="A489" s="34" t="n"/>
      <c r="B489" s="45" t="n"/>
      <c r="C489" s="34" t="n"/>
      <c r="D489" s="34" t="n"/>
      <c r="E489" s="47" t="n"/>
      <c r="F489" s="34" t="n"/>
      <c r="G489" s="34" t="n"/>
      <c r="H489" s="34" t="n"/>
      <c r="I489" s="36" t="n"/>
      <c r="J489" s="46">
        <f>IF(G489="","",IFERROR(INDEX(Products!$B$2:$B$101,MATCH(G489,Products!$A$2:$A$101,0)),"Unknown SKU"))</f>
        <v/>
      </c>
      <c r="K489" s="34" t="n"/>
      <c r="L489" s="34" t="n"/>
      <c r="M489" s="36" t="n"/>
      <c r="N489" s="36" t="n"/>
      <c r="O489" s="44">
        <f>IF(OR(H489="",I489=""),"",H489*I489)</f>
        <v/>
      </c>
      <c r="P489" s="44">
        <f>IF(O489="","",O489*IFERROR(INDEX(Settings!$B$8:$B$15,MATCH(C489,Settings!$A$8:$A$15,0)),0))</f>
        <v/>
      </c>
      <c r="Q489" s="44">
        <f>IF(OR(G489="",H489=""),"",H489*IFERROR(INDEX(Products!$J$2:$J$101,MATCH(G489,Products!$A$2:$A$101,0)),0))</f>
        <v/>
      </c>
      <c r="R489" s="44">
        <f>IF(K489="Delivered",N(O489)+N(M489)-N(N489)-N(P489)-N(Q489),IF(OR(K489="Returned",K489="Failed delivery"),-N(N489),""))</f>
        <v/>
      </c>
      <c r="S489">
        <f>IF(E489="","",IF(MATCH(E489,$E$2:E489,0)&lt;ROWS($E$2:E489),"Repeat","New"))</f>
        <v/>
      </c>
      <c r="T489" s="34" t="n"/>
    </row>
    <row r="490">
      <c r="A490" s="34" t="n"/>
      <c r="B490" s="45" t="n"/>
      <c r="C490" s="34" t="n"/>
      <c r="D490" s="34" t="n"/>
      <c r="E490" s="47" t="n"/>
      <c r="F490" s="34" t="n"/>
      <c r="G490" s="34" t="n"/>
      <c r="H490" s="34" t="n"/>
      <c r="I490" s="36" t="n"/>
      <c r="J490" s="46">
        <f>IF(G490="","",IFERROR(INDEX(Products!$B$2:$B$101,MATCH(G490,Products!$A$2:$A$101,0)),"Unknown SKU"))</f>
        <v/>
      </c>
      <c r="K490" s="34" t="n"/>
      <c r="L490" s="34" t="n"/>
      <c r="M490" s="36" t="n"/>
      <c r="N490" s="36" t="n"/>
      <c r="O490" s="44">
        <f>IF(OR(H490="",I490=""),"",H490*I490)</f>
        <v/>
      </c>
      <c r="P490" s="44">
        <f>IF(O490="","",O490*IFERROR(INDEX(Settings!$B$8:$B$15,MATCH(C490,Settings!$A$8:$A$15,0)),0))</f>
        <v/>
      </c>
      <c r="Q490" s="44">
        <f>IF(OR(G490="",H490=""),"",H490*IFERROR(INDEX(Products!$J$2:$J$101,MATCH(G490,Products!$A$2:$A$101,0)),0))</f>
        <v/>
      </c>
      <c r="R490" s="44">
        <f>IF(K490="Delivered",N(O490)+N(M490)-N(N490)-N(P490)-N(Q490),IF(OR(K490="Returned",K490="Failed delivery"),-N(N490),""))</f>
        <v/>
      </c>
      <c r="S490">
        <f>IF(E490="","",IF(MATCH(E490,$E$2:E490,0)&lt;ROWS($E$2:E490),"Repeat","New"))</f>
        <v/>
      </c>
      <c r="T490" s="34" t="n"/>
    </row>
    <row r="491">
      <c r="A491" s="34" t="n"/>
      <c r="B491" s="45" t="n"/>
      <c r="C491" s="34" t="n"/>
      <c r="D491" s="34" t="n"/>
      <c r="E491" s="47" t="n"/>
      <c r="F491" s="34" t="n"/>
      <c r="G491" s="34" t="n"/>
      <c r="H491" s="34" t="n"/>
      <c r="I491" s="36" t="n"/>
      <c r="J491" s="46">
        <f>IF(G491="","",IFERROR(INDEX(Products!$B$2:$B$101,MATCH(G491,Products!$A$2:$A$101,0)),"Unknown SKU"))</f>
        <v/>
      </c>
      <c r="K491" s="34" t="n"/>
      <c r="L491" s="34" t="n"/>
      <c r="M491" s="36" t="n"/>
      <c r="N491" s="36" t="n"/>
      <c r="O491" s="44">
        <f>IF(OR(H491="",I491=""),"",H491*I491)</f>
        <v/>
      </c>
      <c r="P491" s="44">
        <f>IF(O491="","",O491*IFERROR(INDEX(Settings!$B$8:$B$15,MATCH(C491,Settings!$A$8:$A$15,0)),0))</f>
        <v/>
      </c>
      <c r="Q491" s="44">
        <f>IF(OR(G491="",H491=""),"",H491*IFERROR(INDEX(Products!$J$2:$J$101,MATCH(G491,Products!$A$2:$A$101,0)),0))</f>
        <v/>
      </c>
      <c r="R491" s="44">
        <f>IF(K491="Delivered",N(O491)+N(M491)-N(N491)-N(P491)-N(Q491),IF(OR(K491="Returned",K491="Failed delivery"),-N(N491),""))</f>
        <v/>
      </c>
      <c r="S491">
        <f>IF(E491="","",IF(MATCH(E491,$E$2:E491,0)&lt;ROWS($E$2:E491),"Repeat","New"))</f>
        <v/>
      </c>
      <c r="T491" s="34" t="n"/>
    </row>
    <row r="492">
      <c r="A492" s="34" t="n"/>
      <c r="B492" s="45" t="n"/>
      <c r="C492" s="34" t="n"/>
      <c r="D492" s="34" t="n"/>
      <c r="E492" s="47" t="n"/>
      <c r="F492" s="34" t="n"/>
      <c r="G492" s="34" t="n"/>
      <c r="H492" s="34" t="n"/>
      <c r="I492" s="36" t="n"/>
      <c r="J492" s="46">
        <f>IF(G492="","",IFERROR(INDEX(Products!$B$2:$B$101,MATCH(G492,Products!$A$2:$A$101,0)),"Unknown SKU"))</f>
        <v/>
      </c>
      <c r="K492" s="34" t="n"/>
      <c r="L492" s="34" t="n"/>
      <c r="M492" s="36" t="n"/>
      <c r="N492" s="36" t="n"/>
      <c r="O492" s="44">
        <f>IF(OR(H492="",I492=""),"",H492*I492)</f>
        <v/>
      </c>
      <c r="P492" s="44">
        <f>IF(O492="","",O492*IFERROR(INDEX(Settings!$B$8:$B$15,MATCH(C492,Settings!$A$8:$A$15,0)),0))</f>
        <v/>
      </c>
      <c r="Q492" s="44">
        <f>IF(OR(G492="",H492=""),"",H492*IFERROR(INDEX(Products!$J$2:$J$101,MATCH(G492,Products!$A$2:$A$101,0)),0))</f>
        <v/>
      </c>
      <c r="R492" s="44">
        <f>IF(K492="Delivered",N(O492)+N(M492)-N(N492)-N(P492)-N(Q492),IF(OR(K492="Returned",K492="Failed delivery"),-N(N492),""))</f>
        <v/>
      </c>
      <c r="S492">
        <f>IF(E492="","",IF(MATCH(E492,$E$2:E492,0)&lt;ROWS($E$2:E492),"Repeat","New"))</f>
        <v/>
      </c>
      <c r="T492" s="34" t="n"/>
    </row>
    <row r="493">
      <c r="A493" s="34" t="n"/>
      <c r="B493" s="45" t="n"/>
      <c r="C493" s="34" t="n"/>
      <c r="D493" s="34" t="n"/>
      <c r="E493" s="47" t="n"/>
      <c r="F493" s="34" t="n"/>
      <c r="G493" s="34" t="n"/>
      <c r="H493" s="34" t="n"/>
      <c r="I493" s="36" t="n"/>
      <c r="J493" s="46">
        <f>IF(G493="","",IFERROR(INDEX(Products!$B$2:$B$101,MATCH(G493,Products!$A$2:$A$101,0)),"Unknown SKU"))</f>
        <v/>
      </c>
      <c r="K493" s="34" t="n"/>
      <c r="L493" s="34" t="n"/>
      <c r="M493" s="36" t="n"/>
      <c r="N493" s="36" t="n"/>
      <c r="O493" s="44">
        <f>IF(OR(H493="",I493=""),"",H493*I493)</f>
        <v/>
      </c>
      <c r="P493" s="44">
        <f>IF(O493="","",O493*IFERROR(INDEX(Settings!$B$8:$B$15,MATCH(C493,Settings!$A$8:$A$15,0)),0))</f>
        <v/>
      </c>
      <c r="Q493" s="44">
        <f>IF(OR(G493="",H493=""),"",H493*IFERROR(INDEX(Products!$J$2:$J$101,MATCH(G493,Products!$A$2:$A$101,0)),0))</f>
        <v/>
      </c>
      <c r="R493" s="44">
        <f>IF(K493="Delivered",N(O493)+N(M493)-N(N493)-N(P493)-N(Q493),IF(OR(K493="Returned",K493="Failed delivery"),-N(N493),""))</f>
        <v/>
      </c>
      <c r="S493">
        <f>IF(E493="","",IF(MATCH(E493,$E$2:E493,0)&lt;ROWS($E$2:E493),"Repeat","New"))</f>
        <v/>
      </c>
      <c r="T493" s="34" t="n"/>
    </row>
    <row r="494">
      <c r="A494" s="34" t="n"/>
      <c r="B494" s="45" t="n"/>
      <c r="C494" s="34" t="n"/>
      <c r="D494" s="34" t="n"/>
      <c r="E494" s="47" t="n"/>
      <c r="F494" s="34" t="n"/>
      <c r="G494" s="34" t="n"/>
      <c r="H494" s="34" t="n"/>
      <c r="I494" s="36" t="n"/>
      <c r="J494" s="46">
        <f>IF(G494="","",IFERROR(INDEX(Products!$B$2:$B$101,MATCH(G494,Products!$A$2:$A$101,0)),"Unknown SKU"))</f>
        <v/>
      </c>
      <c r="K494" s="34" t="n"/>
      <c r="L494" s="34" t="n"/>
      <c r="M494" s="36" t="n"/>
      <c r="N494" s="36" t="n"/>
      <c r="O494" s="44">
        <f>IF(OR(H494="",I494=""),"",H494*I494)</f>
        <v/>
      </c>
      <c r="P494" s="44">
        <f>IF(O494="","",O494*IFERROR(INDEX(Settings!$B$8:$B$15,MATCH(C494,Settings!$A$8:$A$15,0)),0))</f>
        <v/>
      </c>
      <c r="Q494" s="44">
        <f>IF(OR(G494="",H494=""),"",H494*IFERROR(INDEX(Products!$J$2:$J$101,MATCH(G494,Products!$A$2:$A$101,0)),0))</f>
        <v/>
      </c>
      <c r="R494" s="44">
        <f>IF(K494="Delivered",N(O494)+N(M494)-N(N494)-N(P494)-N(Q494),IF(OR(K494="Returned",K494="Failed delivery"),-N(N494),""))</f>
        <v/>
      </c>
      <c r="S494">
        <f>IF(E494="","",IF(MATCH(E494,$E$2:E494,0)&lt;ROWS($E$2:E494),"Repeat","New"))</f>
        <v/>
      </c>
      <c r="T494" s="34" t="n"/>
    </row>
    <row r="495">
      <c r="A495" s="34" t="n"/>
      <c r="B495" s="45" t="n"/>
      <c r="C495" s="34" t="n"/>
      <c r="D495" s="34" t="n"/>
      <c r="E495" s="47" t="n"/>
      <c r="F495" s="34" t="n"/>
      <c r="G495" s="34" t="n"/>
      <c r="H495" s="34" t="n"/>
      <c r="I495" s="36" t="n"/>
      <c r="J495" s="46">
        <f>IF(G495="","",IFERROR(INDEX(Products!$B$2:$B$101,MATCH(G495,Products!$A$2:$A$101,0)),"Unknown SKU"))</f>
        <v/>
      </c>
      <c r="K495" s="34" t="n"/>
      <c r="L495" s="34" t="n"/>
      <c r="M495" s="36" t="n"/>
      <c r="N495" s="36" t="n"/>
      <c r="O495" s="44">
        <f>IF(OR(H495="",I495=""),"",H495*I495)</f>
        <v/>
      </c>
      <c r="P495" s="44">
        <f>IF(O495="","",O495*IFERROR(INDEX(Settings!$B$8:$B$15,MATCH(C495,Settings!$A$8:$A$15,0)),0))</f>
        <v/>
      </c>
      <c r="Q495" s="44">
        <f>IF(OR(G495="",H495=""),"",H495*IFERROR(INDEX(Products!$J$2:$J$101,MATCH(G495,Products!$A$2:$A$101,0)),0))</f>
        <v/>
      </c>
      <c r="R495" s="44">
        <f>IF(K495="Delivered",N(O495)+N(M495)-N(N495)-N(P495)-N(Q495),IF(OR(K495="Returned",K495="Failed delivery"),-N(N495),""))</f>
        <v/>
      </c>
      <c r="S495">
        <f>IF(E495="","",IF(MATCH(E495,$E$2:E495,0)&lt;ROWS($E$2:E495),"Repeat","New"))</f>
        <v/>
      </c>
      <c r="T495" s="34" t="n"/>
    </row>
    <row r="496">
      <c r="A496" s="34" t="n"/>
      <c r="B496" s="45" t="n"/>
      <c r="C496" s="34" t="n"/>
      <c r="D496" s="34" t="n"/>
      <c r="E496" s="47" t="n"/>
      <c r="F496" s="34" t="n"/>
      <c r="G496" s="34" t="n"/>
      <c r="H496" s="34" t="n"/>
      <c r="I496" s="36" t="n"/>
      <c r="J496" s="46">
        <f>IF(G496="","",IFERROR(INDEX(Products!$B$2:$B$101,MATCH(G496,Products!$A$2:$A$101,0)),"Unknown SKU"))</f>
        <v/>
      </c>
      <c r="K496" s="34" t="n"/>
      <c r="L496" s="34" t="n"/>
      <c r="M496" s="36" t="n"/>
      <c r="N496" s="36" t="n"/>
      <c r="O496" s="44">
        <f>IF(OR(H496="",I496=""),"",H496*I496)</f>
        <v/>
      </c>
      <c r="P496" s="44">
        <f>IF(O496="","",O496*IFERROR(INDEX(Settings!$B$8:$B$15,MATCH(C496,Settings!$A$8:$A$15,0)),0))</f>
        <v/>
      </c>
      <c r="Q496" s="44">
        <f>IF(OR(G496="",H496=""),"",H496*IFERROR(INDEX(Products!$J$2:$J$101,MATCH(G496,Products!$A$2:$A$101,0)),0))</f>
        <v/>
      </c>
      <c r="R496" s="44">
        <f>IF(K496="Delivered",N(O496)+N(M496)-N(N496)-N(P496)-N(Q496),IF(OR(K496="Returned",K496="Failed delivery"),-N(N496),""))</f>
        <v/>
      </c>
      <c r="S496">
        <f>IF(E496="","",IF(MATCH(E496,$E$2:E496,0)&lt;ROWS($E$2:E496),"Repeat","New"))</f>
        <v/>
      </c>
      <c r="T496" s="34" t="n"/>
    </row>
    <row r="497">
      <c r="A497" s="34" t="n"/>
      <c r="B497" s="45" t="n"/>
      <c r="C497" s="34" t="n"/>
      <c r="D497" s="34" t="n"/>
      <c r="E497" s="47" t="n"/>
      <c r="F497" s="34" t="n"/>
      <c r="G497" s="34" t="n"/>
      <c r="H497" s="34" t="n"/>
      <c r="I497" s="36" t="n"/>
      <c r="J497" s="46">
        <f>IF(G497="","",IFERROR(INDEX(Products!$B$2:$B$101,MATCH(G497,Products!$A$2:$A$101,0)),"Unknown SKU"))</f>
        <v/>
      </c>
      <c r="K497" s="34" t="n"/>
      <c r="L497" s="34" t="n"/>
      <c r="M497" s="36" t="n"/>
      <c r="N497" s="36" t="n"/>
      <c r="O497" s="44">
        <f>IF(OR(H497="",I497=""),"",H497*I497)</f>
        <v/>
      </c>
      <c r="P497" s="44">
        <f>IF(O497="","",O497*IFERROR(INDEX(Settings!$B$8:$B$15,MATCH(C497,Settings!$A$8:$A$15,0)),0))</f>
        <v/>
      </c>
      <c r="Q497" s="44">
        <f>IF(OR(G497="",H497=""),"",H497*IFERROR(INDEX(Products!$J$2:$J$101,MATCH(G497,Products!$A$2:$A$101,0)),0))</f>
        <v/>
      </c>
      <c r="R497" s="44">
        <f>IF(K497="Delivered",N(O497)+N(M497)-N(N497)-N(P497)-N(Q497),IF(OR(K497="Returned",K497="Failed delivery"),-N(N497),""))</f>
        <v/>
      </c>
      <c r="S497">
        <f>IF(E497="","",IF(MATCH(E497,$E$2:E497,0)&lt;ROWS($E$2:E497),"Repeat","New"))</f>
        <v/>
      </c>
      <c r="T497" s="34" t="n"/>
    </row>
    <row r="498">
      <c r="A498" s="34" t="n"/>
      <c r="B498" s="45" t="n"/>
      <c r="C498" s="34" t="n"/>
      <c r="D498" s="34" t="n"/>
      <c r="E498" s="47" t="n"/>
      <c r="F498" s="34" t="n"/>
      <c r="G498" s="34" t="n"/>
      <c r="H498" s="34" t="n"/>
      <c r="I498" s="36" t="n"/>
      <c r="J498" s="46">
        <f>IF(G498="","",IFERROR(INDEX(Products!$B$2:$B$101,MATCH(G498,Products!$A$2:$A$101,0)),"Unknown SKU"))</f>
        <v/>
      </c>
      <c r="K498" s="34" t="n"/>
      <c r="L498" s="34" t="n"/>
      <c r="M498" s="36" t="n"/>
      <c r="N498" s="36" t="n"/>
      <c r="O498" s="44">
        <f>IF(OR(H498="",I498=""),"",H498*I498)</f>
        <v/>
      </c>
      <c r="P498" s="44">
        <f>IF(O498="","",O498*IFERROR(INDEX(Settings!$B$8:$B$15,MATCH(C498,Settings!$A$8:$A$15,0)),0))</f>
        <v/>
      </c>
      <c r="Q498" s="44">
        <f>IF(OR(G498="",H498=""),"",H498*IFERROR(INDEX(Products!$J$2:$J$101,MATCH(G498,Products!$A$2:$A$101,0)),0))</f>
        <v/>
      </c>
      <c r="R498" s="44">
        <f>IF(K498="Delivered",N(O498)+N(M498)-N(N498)-N(P498)-N(Q498),IF(OR(K498="Returned",K498="Failed delivery"),-N(N498),""))</f>
        <v/>
      </c>
      <c r="S498">
        <f>IF(E498="","",IF(MATCH(E498,$E$2:E498,0)&lt;ROWS($E$2:E498),"Repeat","New"))</f>
        <v/>
      </c>
      <c r="T498" s="34" t="n"/>
    </row>
    <row r="499">
      <c r="A499" s="34" t="n"/>
      <c r="B499" s="45" t="n"/>
      <c r="C499" s="34" t="n"/>
      <c r="D499" s="34" t="n"/>
      <c r="E499" s="47" t="n"/>
      <c r="F499" s="34" t="n"/>
      <c r="G499" s="34" t="n"/>
      <c r="H499" s="34" t="n"/>
      <c r="I499" s="36" t="n"/>
      <c r="J499" s="46">
        <f>IF(G499="","",IFERROR(INDEX(Products!$B$2:$B$101,MATCH(G499,Products!$A$2:$A$101,0)),"Unknown SKU"))</f>
        <v/>
      </c>
      <c r="K499" s="34" t="n"/>
      <c r="L499" s="34" t="n"/>
      <c r="M499" s="36" t="n"/>
      <c r="N499" s="36" t="n"/>
      <c r="O499" s="44">
        <f>IF(OR(H499="",I499=""),"",H499*I499)</f>
        <v/>
      </c>
      <c r="P499" s="44">
        <f>IF(O499="","",O499*IFERROR(INDEX(Settings!$B$8:$B$15,MATCH(C499,Settings!$A$8:$A$15,0)),0))</f>
        <v/>
      </c>
      <c r="Q499" s="44">
        <f>IF(OR(G499="",H499=""),"",H499*IFERROR(INDEX(Products!$J$2:$J$101,MATCH(G499,Products!$A$2:$A$101,0)),0))</f>
        <v/>
      </c>
      <c r="R499" s="44">
        <f>IF(K499="Delivered",N(O499)+N(M499)-N(N499)-N(P499)-N(Q499),IF(OR(K499="Returned",K499="Failed delivery"),-N(N499),""))</f>
        <v/>
      </c>
      <c r="S499">
        <f>IF(E499="","",IF(MATCH(E499,$E$2:E499,0)&lt;ROWS($E$2:E499),"Repeat","New"))</f>
        <v/>
      </c>
      <c r="T499" s="34" t="n"/>
    </row>
    <row r="500">
      <c r="A500" s="34" t="n"/>
      <c r="B500" s="45" t="n"/>
      <c r="C500" s="34" t="n"/>
      <c r="D500" s="34" t="n"/>
      <c r="E500" s="47" t="n"/>
      <c r="F500" s="34" t="n"/>
      <c r="G500" s="34" t="n"/>
      <c r="H500" s="34" t="n"/>
      <c r="I500" s="36" t="n"/>
      <c r="J500" s="46">
        <f>IF(G500="","",IFERROR(INDEX(Products!$B$2:$B$101,MATCH(G500,Products!$A$2:$A$101,0)),"Unknown SKU"))</f>
        <v/>
      </c>
      <c r="K500" s="34" t="n"/>
      <c r="L500" s="34" t="n"/>
      <c r="M500" s="36" t="n"/>
      <c r="N500" s="36" t="n"/>
      <c r="O500" s="44">
        <f>IF(OR(H500="",I500=""),"",H500*I500)</f>
        <v/>
      </c>
      <c r="P500" s="44">
        <f>IF(O500="","",O500*IFERROR(INDEX(Settings!$B$8:$B$15,MATCH(C500,Settings!$A$8:$A$15,0)),0))</f>
        <v/>
      </c>
      <c r="Q500" s="44">
        <f>IF(OR(G500="",H500=""),"",H500*IFERROR(INDEX(Products!$J$2:$J$101,MATCH(G500,Products!$A$2:$A$101,0)),0))</f>
        <v/>
      </c>
      <c r="R500" s="44">
        <f>IF(K500="Delivered",N(O500)+N(M500)-N(N500)-N(P500)-N(Q500),IF(OR(K500="Returned",K500="Failed delivery"),-N(N500),""))</f>
        <v/>
      </c>
      <c r="S500">
        <f>IF(E500="","",IF(MATCH(E500,$E$2:E500,0)&lt;ROWS($E$2:E500),"Repeat","New"))</f>
        <v/>
      </c>
      <c r="T500" s="34" t="n"/>
    </row>
    <row r="501">
      <c r="A501" s="34" t="n"/>
      <c r="B501" s="45" t="n"/>
      <c r="C501" s="34" t="n"/>
      <c r="D501" s="34" t="n"/>
      <c r="E501" s="47" t="n"/>
      <c r="F501" s="34" t="n"/>
      <c r="G501" s="34" t="n"/>
      <c r="H501" s="34" t="n"/>
      <c r="I501" s="36" t="n"/>
      <c r="J501" s="46">
        <f>IF(G501="","",IFERROR(INDEX(Products!$B$2:$B$101,MATCH(G501,Products!$A$2:$A$101,0)),"Unknown SKU"))</f>
        <v/>
      </c>
      <c r="K501" s="34" t="n"/>
      <c r="L501" s="34" t="n"/>
      <c r="M501" s="36" t="n"/>
      <c r="N501" s="36" t="n"/>
      <c r="O501" s="44">
        <f>IF(OR(H501="",I501=""),"",H501*I501)</f>
        <v/>
      </c>
      <c r="P501" s="44">
        <f>IF(O501="","",O501*IFERROR(INDEX(Settings!$B$8:$B$15,MATCH(C501,Settings!$A$8:$A$15,0)),0))</f>
        <v/>
      </c>
      <c r="Q501" s="44">
        <f>IF(OR(G501="",H501=""),"",H501*IFERROR(INDEX(Products!$J$2:$J$101,MATCH(G501,Products!$A$2:$A$101,0)),0))</f>
        <v/>
      </c>
      <c r="R501" s="44">
        <f>IF(K501="Delivered",N(O501)+N(M501)-N(N501)-N(P501)-N(Q501),IF(OR(K501="Returned",K501="Failed delivery"),-N(N501),""))</f>
        <v/>
      </c>
      <c r="S501">
        <f>IF(E501="","",IF(MATCH(E501,$E$2:E501,0)&lt;ROWS($E$2:E501),"Repeat","New"))</f>
        <v/>
      </c>
      <c r="T501" s="34" t="n"/>
    </row>
  </sheetData>
  <conditionalFormatting sqref="R2:R501">
    <cfRule type="cellIs" priority="1" operator="lessThan" dxfId="4">
      <formula>0</formula>
    </cfRule>
  </conditionalFormatting>
  <conditionalFormatting sqref="S2:S501">
    <cfRule type="cellIs" priority="2" operator="equal" dxfId="5">
      <formula>"Repeat"</formula>
    </cfRule>
  </conditionalFormatting>
  <dataValidations count="4">
    <dataValidation sqref="C2:C501" showDropDown="0" showInputMessage="0" showErrorMessage="0" allowBlank="1" type="list">
      <formula1>=Settings!$A$8:$A$15</formula1>
    </dataValidation>
    <dataValidation sqref="G2:G501" showDropDown="0" showInputMessage="0" showErrorMessage="0" allowBlank="1" type="list">
      <formula1>=Products!$A$2:$A$101</formula1>
    </dataValidation>
    <dataValidation sqref="K2:K501" showDropDown="0" showInputMessage="0" showErrorMessage="0" allowBlank="1" type="list">
      <formula1>=Settings!$D$19:$D$25</formula1>
    </dataValidation>
    <dataValidation sqref="L2:L501" showDropDown="0" showInputMessage="0" showErrorMessage="0" allowBlank="1" type="list">
      <formula1>=Settings!$E$19:$E$22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34" customWidth="1" min="3" max="3"/>
    <col width="14" customWidth="1" min="4" max="4"/>
    <col width="16" customWidth="1" min="5" max="5"/>
    <col width="30" customWidth="1" min="6" max="6"/>
  </cols>
  <sheetData>
    <row r="1" ht="30" customHeight="1">
      <c r="A1" s="33" t="inlineStr">
        <is>
          <t>Date</t>
        </is>
      </c>
      <c r="B1" s="33" t="inlineStr">
        <is>
          <t>Category</t>
        </is>
      </c>
      <c r="C1" s="33" t="inlineStr">
        <is>
          <t>Description</t>
        </is>
      </c>
      <c r="D1" s="33" t="inlineStr">
        <is>
          <t>Amount (₦)</t>
        </is>
      </c>
      <c r="E1" s="33" t="inlineStr">
        <is>
          <t>Channel (if any)</t>
        </is>
      </c>
      <c r="F1" s="33" t="inlineStr">
        <is>
          <t>Notes</t>
        </is>
      </c>
    </row>
    <row r="2">
      <c r="A2" s="45" t="n">
        <v>46296</v>
      </c>
      <c r="B2" s="34" t="inlineStr">
        <is>
          <t>Samples</t>
        </is>
      </c>
      <c r="C2" s="34" t="inlineStr">
        <is>
          <t>Samples of 3 products + shipping</t>
        </is>
      </c>
      <c r="D2" s="36" t="n">
        <v>18000</v>
      </c>
      <c r="E2" s="34" t="n"/>
      <c r="F2" s="34" t="n"/>
    </row>
    <row r="3">
      <c r="A3" s="45" t="n">
        <v>46299</v>
      </c>
      <c r="B3" s="34" t="inlineStr">
        <is>
          <t>Ads</t>
        </is>
      </c>
      <c r="C3" s="34" t="inlineStr">
        <is>
          <t>Instagram ad: bonnet video</t>
        </is>
      </c>
      <c r="D3" s="36" t="n">
        <v>25000</v>
      </c>
      <c r="E3" s="34" t="inlineStr">
        <is>
          <t>Instagram</t>
        </is>
      </c>
      <c r="F3" s="34" t="n"/>
    </row>
    <row r="4">
      <c r="A4" s="45" t="n">
        <v>46305</v>
      </c>
      <c r="B4" s="34" t="inlineStr">
        <is>
          <t>Packaging</t>
        </is>
      </c>
      <c r="C4" s="34" t="inlineStr">
        <is>
          <t>Branded mailer bags (100)</t>
        </is>
      </c>
      <c r="D4" s="36" t="n">
        <v>12000</v>
      </c>
      <c r="E4" s="34" t="n"/>
      <c r="F4" s="34" t="n"/>
    </row>
    <row r="5">
      <c r="A5" s="45" t="n"/>
      <c r="B5" s="34" t="n"/>
      <c r="C5" s="34" t="n"/>
      <c r="D5" s="36" t="n"/>
      <c r="E5" s="34" t="n"/>
      <c r="F5" s="34" t="n"/>
    </row>
    <row r="6">
      <c r="A6" s="45" t="n"/>
      <c r="B6" s="34" t="n"/>
      <c r="C6" s="34" t="n"/>
      <c r="D6" s="36" t="n"/>
      <c r="E6" s="34" t="n"/>
      <c r="F6" s="34" t="n"/>
    </row>
    <row r="7">
      <c r="A7" s="45" t="n"/>
      <c r="B7" s="34" t="n"/>
      <c r="C7" s="34" t="n"/>
      <c r="D7" s="36" t="n"/>
      <c r="E7" s="34" t="n"/>
      <c r="F7" s="34" t="n"/>
    </row>
    <row r="8">
      <c r="A8" s="45" t="n"/>
      <c r="B8" s="34" t="n"/>
      <c r="C8" s="34" t="n"/>
      <c r="D8" s="36" t="n"/>
      <c r="E8" s="34" t="n"/>
      <c r="F8" s="34" t="n"/>
    </row>
    <row r="9">
      <c r="A9" s="45" t="n"/>
      <c r="B9" s="34" t="n"/>
      <c r="C9" s="34" t="n"/>
      <c r="D9" s="36" t="n"/>
      <c r="E9" s="34" t="n"/>
      <c r="F9" s="34" t="n"/>
    </row>
    <row r="10">
      <c r="A10" s="45" t="n"/>
      <c r="B10" s="34" t="n"/>
      <c r="C10" s="34" t="n"/>
      <c r="D10" s="36" t="n"/>
      <c r="E10" s="34" t="n"/>
      <c r="F10" s="34" t="n"/>
    </row>
    <row r="11">
      <c r="A11" s="45" t="n"/>
      <c r="B11" s="34" t="n"/>
      <c r="C11" s="34" t="n"/>
      <c r="D11" s="36" t="n"/>
      <c r="E11" s="34" t="n"/>
      <c r="F11" s="34" t="n"/>
    </row>
    <row r="12">
      <c r="A12" s="45" t="n"/>
      <c r="B12" s="34" t="n"/>
      <c r="C12" s="34" t="n"/>
      <c r="D12" s="36" t="n"/>
      <c r="E12" s="34" t="n"/>
      <c r="F12" s="34" t="n"/>
    </row>
    <row r="13">
      <c r="A13" s="45" t="n"/>
      <c r="B13" s="34" t="n"/>
      <c r="C13" s="34" t="n"/>
      <c r="D13" s="36" t="n"/>
      <c r="E13" s="34" t="n"/>
      <c r="F13" s="34" t="n"/>
    </row>
    <row r="14">
      <c r="A14" s="45" t="n"/>
      <c r="B14" s="34" t="n"/>
      <c r="C14" s="34" t="n"/>
      <c r="D14" s="36" t="n"/>
      <c r="E14" s="34" t="n"/>
      <c r="F14" s="34" t="n"/>
    </row>
    <row r="15">
      <c r="A15" s="45" t="n"/>
      <c r="B15" s="34" t="n"/>
      <c r="C15" s="34" t="n"/>
      <c r="D15" s="36" t="n"/>
      <c r="E15" s="34" t="n"/>
      <c r="F15" s="34" t="n"/>
    </row>
    <row r="16">
      <c r="A16" s="45" t="n"/>
      <c r="B16" s="34" t="n"/>
      <c r="C16" s="34" t="n"/>
      <c r="D16" s="36" t="n"/>
      <c r="E16" s="34" t="n"/>
      <c r="F16" s="34" t="n"/>
    </row>
    <row r="17">
      <c r="A17" s="45" t="n"/>
      <c r="B17" s="34" t="n"/>
      <c r="C17" s="34" t="n"/>
      <c r="D17" s="36" t="n"/>
      <c r="E17" s="34" t="n"/>
      <c r="F17" s="34" t="n"/>
    </row>
    <row r="18">
      <c r="A18" s="45" t="n"/>
      <c r="B18" s="34" t="n"/>
      <c r="C18" s="34" t="n"/>
      <c r="D18" s="36" t="n"/>
      <c r="E18" s="34" t="n"/>
      <c r="F18" s="34" t="n"/>
    </row>
    <row r="19">
      <c r="A19" s="45" t="n"/>
      <c r="B19" s="34" t="n"/>
      <c r="C19" s="34" t="n"/>
      <c r="D19" s="36" t="n"/>
      <c r="E19" s="34" t="n"/>
      <c r="F19" s="34" t="n"/>
    </row>
    <row r="20">
      <c r="A20" s="45" t="n"/>
      <c r="B20" s="34" t="n"/>
      <c r="C20" s="34" t="n"/>
      <c r="D20" s="36" t="n"/>
      <c r="E20" s="34" t="n"/>
      <c r="F20" s="34" t="n"/>
    </row>
    <row r="21">
      <c r="A21" s="45" t="n"/>
      <c r="B21" s="34" t="n"/>
      <c r="C21" s="34" t="n"/>
      <c r="D21" s="36" t="n"/>
      <c r="E21" s="34" t="n"/>
      <c r="F21" s="34" t="n"/>
    </row>
    <row r="22">
      <c r="A22" s="45" t="n"/>
      <c r="B22" s="34" t="n"/>
      <c r="C22" s="34" t="n"/>
      <c r="D22" s="36" t="n"/>
      <c r="E22" s="34" t="n"/>
      <c r="F22" s="34" t="n"/>
    </row>
    <row r="23">
      <c r="A23" s="45" t="n"/>
      <c r="B23" s="34" t="n"/>
      <c r="C23" s="34" t="n"/>
      <c r="D23" s="36" t="n"/>
      <c r="E23" s="34" t="n"/>
      <c r="F23" s="34" t="n"/>
    </row>
    <row r="24">
      <c r="A24" s="45" t="n"/>
      <c r="B24" s="34" t="n"/>
      <c r="C24" s="34" t="n"/>
      <c r="D24" s="36" t="n"/>
      <c r="E24" s="34" t="n"/>
      <c r="F24" s="34" t="n"/>
    </row>
    <row r="25">
      <c r="A25" s="45" t="n"/>
      <c r="B25" s="34" t="n"/>
      <c r="C25" s="34" t="n"/>
      <c r="D25" s="36" t="n"/>
      <c r="E25" s="34" t="n"/>
      <c r="F25" s="34" t="n"/>
    </row>
    <row r="26">
      <c r="A26" s="45" t="n"/>
      <c r="B26" s="34" t="n"/>
      <c r="C26" s="34" t="n"/>
      <c r="D26" s="36" t="n"/>
      <c r="E26" s="34" t="n"/>
      <c r="F26" s="34" t="n"/>
    </row>
    <row r="27">
      <c r="A27" s="45" t="n"/>
      <c r="B27" s="34" t="n"/>
      <c r="C27" s="34" t="n"/>
      <c r="D27" s="36" t="n"/>
      <c r="E27" s="34" t="n"/>
      <c r="F27" s="34" t="n"/>
    </row>
    <row r="28">
      <c r="A28" s="45" t="n"/>
      <c r="B28" s="34" t="n"/>
      <c r="C28" s="34" t="n"/>
      <c r="D28" s="36" t="n"/>
      <c r="E28" s="34" t="n"/>
      <c r="F28" s="34" t="n"/>
    </row>
    <row r="29">
      <c r="A29" s="45" t="n"/>
      <c r="B29" s="34" t="n"/>
      <c r="C29" s="34" t="n"/>
      <c r="D29" s="36" t="n"/>
      <c r="E29" s="34" t="n"/>
      <c r="F29" s="34" t="n"/>
    </row>
    <row r="30">
      <c r="A30" s="45" t="n"/>
      <c r="B30" s="34" t="n"/>
      <c r="C30" s="34" t="n"/>
      <c r="D30" s="36" t="n"/>
      <c r="E30" s="34" t="n"/>
      <c r="F30" s="34" t="n"/>
    </row>
    <row r="31">
      <c r="A31" s="45" t="n"/>
      <c r="B31" s="34" t="n"/>
      <c r="C31" s="34" t="n"/>
      <c r="D31" s="36" t="n"/>
      <c r="E31" s="34" t="n"/>
      <c r="F31" s="34" t="n"/>
    </row>
    <row r="32">
      <c r="A32" s="45" t="n"/>
      <c r="B32" s="34" t="n"/>
      <c r="C32" s="34" t="n"/>
      <c r="D32" s="36" t="n"/>
      <c r="E32" s="34" t="n"/>
      <c r="F32" s="34" t="n"/>
    </row>
    <row r="33">
      <c r="A33" s="45" t="n"/>
      <c r="B33" s="34" t="n"/>
      <c r="C33" s="34" t="n"/>
      <c r="D33" s="36" t="n"/>
      <c r="E33" s="34" t="n"/>
      <c r="F33" s="34" t="n"/>
    </row>
    <row r="34">
      <c r="A34" s="45" t="n"/>
      <c r="B34" s="34" t="n"/>
      <c r="C34" s="34" t="n"/>
      <c r="D34" s="36" t="n"/>
      <c r="E34" s="34" t="n"/>
      <c r="F34" s="34" t="n"/>
    </row>
    <row r="35">
      <c r="A35" s="45" t="n"/>
      <c r="B35" s="34" t="n"/>
      <c r="C35" s="34" t="n"/>
      <c r="D35" s="36" t="n"/>
      <c r="E35" s="34" t="n"/>
      <c r="F35" s="34" t="n"/>
    </row>
    <row r="36">
      <c r="A36" s="45" t="n"/>
      <c r="B36" s="34" t="n"/>
      <c r="C36" s="34" t="n"/>
      <c r="D36" s="36" t="n"/>
      <c r="E36" s="34" t="n"/>
      <c r="F36" s="34" t="n"/>
    </row>
    <row r="37">
      <c r="A37" s="45" t="n"/>
      <c r="B37" s="34" t="n"/>
      <c r="C37" s="34" t="n"/>
      <c r="D37" s="36" t="n"/>
      <c r="E37" s="34" t="n"/>
      <c r="F37" s="34" t="n"/>
    </row>
    <row r="38">
      <c r="A38" s="45" t="n"/>
      <c r="B38" s="34" t="n"/>
      <c r="C38" s="34" t="n"/>
      <c r="D38" s="36" t="n"/>
      <c r="E38" s="34" t="n"/>
      <c r="F38" s="34" t="n"/>
    </row>
    <row r="39">
      <c r="A39" s="45" t="n"/>
      <c r="B39" s="34" t="n"/>
      <c r="C39" s="34" t="n"/>
      <c r="D39" s="36" t="n"/>
      <c r="E39" s="34" t="n"/>
      <c r="F39" s="34" t="n"/>
    </row>
    <row r="40">
      <c r="A40" s="45" t="n"/>
      <c r="B40" s="34" t="n"/>
      <c r="C40" s="34" t="n"/>
      <c r="D40" s="36" t="n"/>
      <c r="E40" s="34" t="n"/>
      <c r="F40" s="34" t="n"/>
    </row>
    <row r="41">
      <c r="A41" s="45" t="n"/>
      <c r="B41" s="34" t="n"/>
      <c r="C41" s="34" t="n"/>
      <c r="D41" s="36" t="n"/>
      <c r="E41" s="34" t="n"/>
      <c r="F41" s="34" t="n"/>
    </row>
    <row r="42">
      <c r="A42" s="45" t="n"/>
      <c r="B42" s="34" t="n"/>
      <c r="C42" s="34" t="n"/>
      <c r="D42" s="36" t="n"/>
      <c r="E42" s="34" t="n"/>
      <c r="F42" s="34" t="n"/>
    </row>
    <row r="43">
      <c r="A43" s="45" t="n"/>
      <c r="B43" s="34" t="n"/>
      <c r="C43" s="34" t="n"/>
      <c r="D43" s="36" t="n"/>
      <c r="E43" s="34" t="n"/>
      <c r="F43" s="34" t="n"/>
    </row>
    <row r="44">
      <c r="A44" s="45" t="n"/>
      <c r="B44" s="34" t="n"/>
      <c r="C44" s="34" t="n"/>
      <c r="D44" s="36" t="n"/>
      <c r="E44" s="34" t="n"/>
      <c r="F44" s="34" t="n"/>
    </row>
    <row r="45">
      <c r="A45" s="45" t="n"/>
      <c r="B45" s="34" t="n"/>
      <c r="C45" s="34" t="n"/>
      <c r="D45" s="36" t="n"/>
      <c r="E45" s="34" t="n"/>
      <c r="F45" s="34" t="n"/>
    </row>
    <row r="46">
      <c r="A46" s="45" t="n"/>
      <c r="B46" s="34" t="n"/>
      <c r="C46" s="34" t="n"/>
      <c r="D46" s="36" t="n"/>
      <c r="E46" s="34" t="n"/>
      <c r="F46" s="34" t="n"/>
    </row>
    <row r="47">
      <c r="A47" s="45" t="n"/>
      <c r="B47" s="34" t="n"/>
      <c r="C47" s="34" t="n"/>
      <c r="D47" s="36" t="n"/>
      <c r="E47" s="34" t="n"/>
      <c r="F47" s="34" t="n"/>
    </row>
    <row r="48">
      <c r="A48" s="45" t="n"/>
      <c r="B48" s="34" t="n"/>
      <c r="C48" s="34" t="n"/>
      <c r="D48" s="36" t="n"/>
      <c r="E48" s="34" t="n"/>
      <c r="F48" s="34" t="n"/>
    </row>
    <row r="49">
      <c r="A49" s="45" t="n"/>
      <c r="B49" s="34" t="n"/>
      <c r="C49" s="34" t="n"/>
      <c r="D49" s="36" t="n"/>
      <c r="E49" s="34" t="n"/>
      <c r="F49" s="34" t="n"/>
    </row>
    <row r="50">
      <c r="A50" s="45" t="n"/>
      <c r="B50" s="34" t="n"/>
      <c r="C50" s="34" t="n"/>
      <c r="D50" s="36" t="n"/>
      <c r="E50" s="34" t="n"/>
      <c r="F50" s="34" t="n"/>
    </row>
    <row r="51">
      <c r="A51" s="45" t="n"/>
      <c r="B51" s="34" t="n"/>
      <c r="C51" s="34" t="n"/>
      <c r="D51" s="36" t="n"/>
      <c r="E51" s="34" t="n"/>
      <c r="F51" s="34" t="n"/>
    </row>
    <row r="52">
      <c r="A52" s="45" t="n"/>
      <c r="B52" s="34" t="n"/>
      <c r="C52" s="34" t="n"/>
      <c r="D52" s="36" t="n"/>
      <c r="E52" s="34" t="n"/>
      <c r="F52" s="34" t="n"/>
    </row>
    <row r="53">
      <c r="A53" s="45" t="n"/>
      <c r="B53" s="34" t="n"/>
      <c r="C53" s="34" t="n"/>
      <c r="D53" s="36" t="n"/>
      <c r="E53" s="34" t="n"/>
      <c r="F53" s="34" t="n"/>
    </row>
    <row r="54">
      <c r="A54" s="45" t="n"/>
      <c r="B54" s="34" t="n"/>
      <c r="C54" s="34" t="n"/>
      <c r="D54" s="36" t="n"/>
      <c r="E54" s="34" t="n"/>
      <c r="F54" s="34" t="n"/>
    </row>
    <row r="55">
      <c r="A55" s="45" t="n"/>
      <c r="B55" s="34" t="n"/>
      <c r="C55" s="34" t="n"/>
      <c r="D55" s="36" t="n"/>
      <c r="E55" s="34" t="n"/>
      <c r="F55" s="34" t="n"/>
    </row>
    <row r="56">
      <c r="A56" s="45" t="n"/>
      <c r="B56" s="34" t="n"/>
      <c r="C56" s="34" t="n"/>
      <c r="D56" s="36" t="n"/>
      <c r="E56" s="34" t="n"/>
      <c r="F56" s="34" t="n"/>
    </row>
    <row r="57">
      <c r="A57" s="45" t="n"/>
      <c r="B57" s="34" t="n"/>
      <c r="C57" s="34" t="n"/>
      <c r="D57" s="36" t="n"/>
      <c r="E57" s="34" t="n"/>
      <c r="F57" s="34" t="n"/>
    </row>
    <row r="58">
      <c r="A58" s="45" t="n"/>
      <c r="B58" s="34" t="n"/>
      <c r="C58" s="34" t="n"/>
      <c r="D58" s="36" t="n"/>
      <c r="E58" s="34" t="n"/>
      <c r="F58" s="34" t="n"/>
    </row>
    <row r="59">
      <c r="A59" s="45" t="n"/>
      <c r="B59" s="34" t="n"/>
      <c r="C59" s="34" t="n"/>
      <c r="D59" s="36" t="n"/>
      <c r="E59" s="34" t="n"/>
      <c r="F59" s="34" t="n"/>
    </row>
    <row r="60">
      <c r="A60" s="45" t="n"/>
      <c r="B60" s="34" t="n"/>
      <c r="C60" s="34" t="n"/>
      <c r="D60" s="36" t="n"/>
      <c r="E60" s="34" t="n"/>
      <c r="F60" s="34" t="n"/>
    </row>
    <row r="61">
      <c r="A61" s="45" t="n"/>
      <c r="B61" s="34" t="n"/>
      <c r="C61" s="34" t="n"/>
      <c r="D61" s="36" t="n"/>
      <c r="E61" s="34" t="n"/>
      <c r="F61" s="34" t="n"/>
    </row>
    <row r="62">
      <c r="A62" s="45" t="n"/>
      <c r="B62" s="34" t="n"/>
      <c r="C62" s="34" t="n"/>
      <c r="D62" s="36" t="n"/>
      <c r="E62" s="34" t="n"/>
      <c r="F62" s="34" t="n"/>
    </row>
    <row r="63">
      <c r="A63" s="45" t="n"/>
      <c r="B63" s="34" t="n"/>
      <c r="C63" s="34" t="n"/>
      <c r="D63" s="36" t="n"/>
      <c r="E63" s="34" t="n"/>
      <c r="F63" s="34" t="n"/>
    </row>
    <row r="64">
      <c r="A64" s="45" t="n"/>
      <c r="B64" s="34" t="n"/>
      <c r="C64" s="34" t="n"/>
      <c r="D64" s="36" t="n"/>
      <c r="E64" s="34" t="n"/>
      <c r="F64" s="34" t="n"/>
    </row>
    <row r="65">
      <c r="A65" s="45" t="n"/>
      <c r="B65" s="34" t="n"/>
      <c r="C65" s="34" t="n"/>
      <c r="D65" s="36" t="n"/>
      <c r="E65" s="34" t="n"/>
      <c r="F65" s="34" t="n"/>
    </row>
    <row r="66">
      <c r="A66" s="45" t="n"/>
      <c r="B66" s="34" t="n"/>
      <c r="C66" s="34" t="n"/>
      <c r="D66" s="36" t="n"/>
      <c r="E66" s="34" t="n"/>
      <c r="F66" s="34" t="n"/>
    </row>
    <row r="67">
      <c r="A67" s="45" t="n"/>
      <c r="B67" s="34" t="n"/>
      <c r="C67" s="34" t="n"/>
      <c r="D67" s="36" t="n"/>
      <c r="E67" s="34" t="n"/>
      <c r="F67" s="34" t="n"/>
    </row>
    <row r="68">
      <c r="A68" s="45" t="n"/>
      <c r="B68" s="34" t="n"/>
      <c r="C68" s="34" t="n"/>
      <c r="D68" s="36" t="n"/>
      <c r="E68" s="34" t="n"/>
      <c r="F68" s="34" t="n"/>
    </row>
    <row r="69">
      <c r="A69" s="45" t="n"/>
      <c r="B69" s="34" t="n"/>
      <c r="C69" s="34" t="n"/>
      <c r="D69" s="36" t="n"/>
      <c r="E69" s="34" t="n"/>
      <c r="F69" s="34" t="n"/>
    </row>
    <row r="70">
      <c r="A70" s="45" t="n"/>
      <c r="B70" s="34" t="n"/>
      <c r="C70" s="34" t="n"/>
      <c r="D70" s="36" t="n"/>
      <c r="E70" s="34" t="n"/>
      <c r="F70" s="34" t="n"/>
    </row>
    <row r="71">
      <c r="A71" s="45" t="n"/>
      <c r="B71" s="34" t="n"/>
      <c r="C71" s="34" t="n"/>
      <c r="D71" s="36" t="n"/>
      <c r="E71" s="34" t="n"/>
      <c r="F71" s="34" t="n"/>
    </row>
    <row r="72">
      <c r="A72" s="45" t="n"/>
      <c r="B72" s="34" t="n"/>
      <c r="C72" s="34" t="n"/>
      <c r="D72" s="36" t="n"/>
      <c r="E72" s="34" t="n"/>
      <c r="F72" s="34" t="n"/>
    </row>
    <row r="73">
      <c r="A73" s="45" t="n"/>
      <c r="B73" s="34" t="n"/>
      <c r="C73" s="34" t="n"/>
      <c r="D73" s="36" t="n"/>
      <c r="E73" s="34" t="n"/>
      <c r="F73" s="34" t="n"/>
    </row>
    <row r="74">
      <c r="A74" s="45" t="n"/>
      <c r="B74" s="34" t="n"/>
      <c r="C74" s="34" t="n"/>
      <c r="D74" s="36" t="n"/>
      <c r="E74" s="34" t="n"/>
      <c r="F74" s="34" t="n"/>
    </row>
    <row r="75">
      <c r="A75" s="45" t="n"/>
      <c r="B75" s="34" t="n"/>
      <c r="C75" s="34" t="n"/>
      <c r="D75" s="36" t="n"/>
      <c r="E75" s="34" t="n"/>
      <c r="F75" s="34" t="n"/>
    </row>
    <row r="76">
      <c r="A76" s="45" t="n"/>
      <c r="B76" s="34" t="n"/>
      <c r="C76" s="34" t="n"/>
      <c r="D76" s="36" t="n"/>
      <c r="E76" s="34" t="n"/>
      <c r="F76" s="34" t="n"/>
    </row>
    <row r="77">
      <c r="A77" s="45" t="n"/>
      <c r="B77" s="34" t="n"/>
      <c r="C77" s="34" t="n"/>
      <c r="D77" s="36" t="n"/>
      <c r="E77" s="34" t="n"/>
      <c r="F77" s="34" t="n"/>
    </row>
    <row r="78">
      <c r="A78" s="45" t="n"/>
      <c r="B78" s="34" t="n"/>
      <c r="C78" s="34" t="n"/>
      <c r="D78" s="36" t="n"/>
      <c r="E78" s="34" t="n"/>
      <c r="F78" s="34" t="n"/>
    </row>
    <row r="79">
      <c r="A79" s="45" t="n"/>
      <c r="B79" s="34" t="n"/>
      <c r="C79" s="34" t="n"/>
      <c r="D79" s="36" t="n"/>
      <c r="E79" s="34" t="n"/>
      <c r="F79" s="34" t="n"/>
    </row>
    <row r="80">
      <c r="A80" s="45" t="n"/>
      <c r="B80" s="34" t="n"/>
      <c r="C80" s="34" t="n"/>
      <c r="D80" s="36" t="n"/>
      <c r="E80" s="34" t="n"/>
      <c r="F80" s="34" t="n"/>
    </row>
    <row r="81">
      <c r="A81" s="45" t="n"/>
      <c r="B81" s="34" t="n"/>
      <c r="C81" s="34" t="n"/>
      <c r="D81" s="36" t="n"/>
      <c r="E81" s="34" t="n"/>
      <c r="F81" s="34" t="n"/>
    </row>
    <row r="82">
      <c r="A82" s="45" t="n"/>
      <c r="B82" s="34" t="n"/>
      <c r="C82" s="34" t="n"/>
      <c r="D82" s="36" t="n"/>
      <c r="E82" s="34" t="n"/>
      <c r="F82" s="34" t="n"/>
    </row>
    <row r="83">
      <c r="A83" s="45" t="n"/>
      <c r="B83" s="34" t="n"/>
      <c r="C83" s="34" t="n"/>
      <c r="D83" s="36" t="n"/>
      <c r="E83" s="34" t="n"/>
      <c r="F83" s="34" t="n"/>
    </row>
    <row r="84">
      <c r="A84" s="45" t="n"/>
      <c r="B84" s="34" t="n"/>
      <c r="C84" s="34" t="n"/>
      <c r="D84" s="36" t="n"/>
      <c r="E84" s="34" t="n"/>
      <c r="F84" s="34" t="n"/>
    </row>
    <row r="85">
      <c r="A85" s="45" t="n"/>
      <c r="B85" s="34" t="n"/>
      <c r="C85" s="34" t="n"/>
      <c r="D85" s="36" t="n"/>
      <c r="E85" s="34" t="n"/>
      <c r="F85" s="34" t="n"/>
    </row>
    <row r="86">
      <c r="A86" s="45" t="n"/>
      <c r="B86" s="34" t="n"/>
      <c r="C86" s="34" t="n"/>
      <c r="D86" s="36" t="n"/>
      <c r="E86" s="34" t="n"/>
      <c r="F86" s="34" t="n"/>
    </row>
    <row r="87">
      <c r="A87" s="45" t="n"/>
      <c r="B87" s="34" t="n"/>
      <c r="C87" s="34" t="n"/>
      <c r="D87" s="36" t="n"/>
      <c r="E87" s="34" t="n"/>
      <c r="F87" s="34" t="n"/>
    </row>
    <row r="88">
      <c r="A88" s="45" t="n"/>
      <c r="B88" s="34" t="n"/>
      <c r="C88" s="34" t="n"/>
      <c r="D88" s="36" t="n"/>
      <c r="E88" s="34" t="n"/>
      <c r="F88" s="34" t="n"/>
    </row>
    <row r="89">
      <c r="A89" s="45" t="n"/>
      <c r="B89" s="34" t="n"/>
      <c r="C89" s="34" t="n"/>
      <c r="D89" s="36" t="n"/>
      <c r="E89" s="34" t="n"/>
      <c r="F89" s="34" t="n"/>
    </row>
    <row r="90">
      <c r="A90" s="45" t="n"/>
      <c r="B90" s="34" t="n"/>
      <c r="C90" s="34" t="n"/>
      <c r="D90" s="36" t="n"/>
      <c r="E90" s="34" t="n"/>
      <c r="F90" s="34" t="n"/>
    </row>
    <row r="91">
      <c r="A91" s="45" t="n"/>
      <c r="B91" s="34" t="n"/>
      <c r="C91" s="34" t="n"/>
      <c r="D91" s="36" t="n"/>
      <c r="E91" s="34" t="n"/>
      <c r="F91" s="34" t="n"/>
    </row>
    <row r="92">
      <c r="A92" s="45" t="n"/>
      <c r="B92" s="34" t="n"/>
      <c r="C92" s="34" t="n"/>
      <c r="D92" s="36" t="n"/>
      <c r="E92" s="34" t="n"/>
      <c r="F92" s="34" t="n"/>
    </row>
    <row r="93">
      <c r="A93" s="45" t="n"/>
      <c r="B93" s="34" t="n"/>
      <c r="C93" s="34" t="n"/>
      <c r="D93" s="36" t="n"/>
      <c r="E93" s="34" t="n"/>
      <c r="F93" s="34" t="n"/>
    </row>
    <row r="94">
      <c r="A94" s="45" t="n"/>
      <c r="B94" s="34" t="n"/>
      <c r="C94" s="34" t="n"/>
      <c r="D94" s="36" t="n"/>
      <c r="E94" s="34" t="n"/>
      <c r="F94" s="34" t="n"/>
    </row>
    <row r="95">
      <c r="A95" s="45" t="n"/>
      <c r="B95" s="34" t="n"/>
      <c r="C95" s="34" t="n"/>
      <c r="D95" s="36" t="n"/>
      <c r="E95" s="34" t="n"/>
      <c r="F95" s="34" t="n"/>
    </row>
    <row r="96">
      <c r="A96" s="45" t="n"/>
      <c r="B96" s="34" t="n"/>
      <c r="C96" s="34" t="n"/>
      <c r="D96" s="36" t="n"/>
      <c r="E96" s="34" t="n"/>
      <c r="F96" s="34" t="n"/>
    </row>
    <row r="97">
      <c r="A97" s="45" t="n"/>
      <c r="B97" s="34" t="n"/>
      <c r="C97" s="34" t="n"/>
      <c r="D97" s="36" t="n"/>
      <c r="E97" s="34" t="n"/>
      <c r="F97" s="34" t="n"/>
    </row>
    <row r="98">
      <c r="A98" s="45" t="n"/>
      <c r="B98" s="34" t="n"/>
      <c r="C98" s="34" t="n"/>
      <c r="D98" s="36" t="n"/>
      <c r="E98" s="34" t="n"/>
      <c r="F98" s="34" t="n"/>
    </row>
    <row r="99">
      <c r="A99" s="45" t="n"/>
      <c r="B99" s="34" t="n"/>
      <c r="C99" s="34" t="n"/>
      <c r="D99" s="36" t="n"/>
      <c r="E99" s="34" t="n"/>
      <c r="F99" s="34" t="n"/>
    </row>
    <row r="100">
      <c r="A100" s="45" t="n"/>
      <c r="B100" s="34" t="n"/>
      <c r="C100" s="34" t="n"/>
      <c r="D100" s="36" t="n"/>
      <c r="E100" s="34" t="n"/>
      <c r="F100" s="34" t="n"/>
    </row>
    <row r="101">
      <c r="A101" s="45" t="n"/>
      <c r="B101" s="34" t="n"/>
      <c r="C101" s="34" t="n"/>
      <c r="D101" s="36" t="n"/>
      <c r="E101" s="34" t="n"/>
      <c r="F101" s="34" t="n"/>
    </row>
    <row r="102">
      <c r="A102" s="45" t="n"/>
      <c r="B102" s="34" t="n"/>
      <c r="C102" s="34" t="n"/>
      <c r="D102" s="36" t="n"/>
      <c r="E102" s="34" t="n"/>
      <c r="F102" s="34" t="n"/>
    </row>
    <row r="103">
      <c r="A103" s="45" t="n"/>
      <c r="B103" s="34" t="n"/>
      <c r="C103" s="34" t="n"/>
      <c r="D103" s="36" t="n"/>
      <c r="E103" s="34" t="n"/>
      <c r="F103" s="34" t="n"/>
    </row>
    <row r="104">
      <c r="A104" s="45" t="n"/>
      <c r="B104" s="34" t="n"/>
      <c r="C104" s="34" t="n"/>
      <c r="D104" s="36" t="n"/>
      <c r="E104" s="34" t="n"/>
      <c r="F104" s="34" t="n"/>
    </row>
    <row r="105">
      <c r="A105" s="45" t="n"/>
      <c r="B105" s="34" t="n"/>
      <c r="C105" s="34" t="n"/>
      <c r="D105" s="36" t="n"/>
      <c r="E105" s="34" t="n"/>
      <c r="F105" s="34" t="n"/>
    </row>
    <row r="106">
      <c r="A106" s="45" t="n"/>
      <c r="B106" s="34" t="n"/>
      <c r="C106" s="34" t="n"/>
      <c r="D106" s="36" t="n"/>
      <c r="E106" s="34" t="n"/>
      <c r="F106" s="34" t="n"/>
    </row>
    <row r="107">
      <c r="A107" s="45" t="n"/>
      <c r="B107" s="34" t="n"/>
      <c r="C107" s="34" t="n"/>
      <c r="D107" s="36" t="n"/>
      <c r="E107" s="34" t="n"/>
      <c r="F107" s="34" t="n"/>
    </row>
    <row r="108">
      <c r="A108" s="45" t="n"/>
      <c r="B108" s="34" t="n"/>
      <c r="C108" s="34" t="n"/>
      <c r="D108" s="36" t="n"/>
      <c r="E108" s="34" t="n"/>
      <c r="F108" s="34" t="n"/>
    </row>
    <row r="109">
      <c r="A109" s="45" t="n"/>
      <c r="B109" s="34" t="n"/>
      <c r="C109" s="34" t="n"/>
      <c r="D109" s="36" t="n"/>
      <c r="E109" s="34" t="n"/>
      <c r="F109" s="34" t="n"/>
    </row>
    <row r="110">
      <c r="A110" s="45" t="n"/>
      <c r="B110" s="34" t="n"/>
      <c r="C110" s="34" t="n"/>
      <c r="D110" s="36" t="n"/>
      <c r="E110" s="34" t="n"/>
      <c r="F110" s="34" t="n"/>
    </row>
    <row r="111">
      <c r="A111" s="45" t="n"/>
      <c r="B111" s="34" t="n"/>
      <c r="C111" s="34" t="n"/>
      <c r="D111" s="36" t="n"/>
      <c r="E111" s="34" t="n"/>
      <c r="F111" s="34" t="n"/>
    </row>
    <row r="112">
      <c r="A112" s="45" t="n"/>
      <c r="B112" s="34" t="n"/>
      <c r="C112" s="34" t="n"/>
      <c r="D112" s="36" t="n"/>
      <c r="E112" s="34" t="n"/>
      <c r="F112" s="34" t="n"/>
    </row>
    <row r="113">
      <c r="A113" s="45" t="n"/>
      <c r="B113" s="34" t="n"/>
      <c r="C113" s="34" t="n"/>
      <c r="D113" s="36" t="n"/>
      <c r="E113" s="34" t="n"/>
      <c r="F113" s="34" t="n"/>
    </row>
    <row r="114">
      <c r="A114" s="45" t="n"/>
      <c r="B114" s="34" t="n"/>
      <c r="C114" s="34" t="n"/>
      <c r="D114" s="36" t="n"/>
      <c r="E114" s="34" t="n"/>
      <c r="F114" s="34" t="n"/>
    </row>
    <row r="115">
      <c r="A115" s="45" t="n"/>
      <c r="B115" s="34" t="n"/>
      <c r="C115" s="34" t="n"/>
      <c r="D115" s="36" t="n"/>
      <c r="E115" s="34" t="n"/>
      <c r="F115" s="34" t="n"/>
    </row>
    <row r="116">
      <c r="A116" s="45" t="n"/>
      <c r="B116" s="34" t="n"/>
      <c r="C116" s="34" t="n"/>
      <c r="D116" s="36" t="n"/>
      <c r="E116" s="34" t="n"/>
      <c r="F116" s="34" t="n"/>
    </row>
    <row r="117">
      <c r="A117" s="45" t="n"/>
      <c r="B117" s="34" t="n"/>
      <c r="C117" s="34" t="n"/>
      <c r="D117" s="36" t="n"/>
      <c r="E117" s="34" t="n"/>
      <c r="F117" s="34" t="n"/>
    </row>
    <row r="118">
      <c r="A118" s="45" t="n"/>
      <c r="B118" s="34" t="n"/>
      <c r="C118" s="34" t="n"/>
      <c r="D118" s="36" t="n"/>
      <c r="E118" s="34" t="n"/>
      <c r="F118" s="34" t="n"/>
    </row>
    <row r="119">
      <c r="A119" s="45" t="n"/>
      <c r="B119" s="34" t="n"/>
      <c r="C119" s="34" t="n"/>
      <c r="D119" s="36" t="n"/>
      <c r="E119" s="34" t="n"/>
      <c r="F119" s="34" t="n"/>
    </row>
    <row r="120">
      <c r="A120" s="45" t="n"/>
      <c r="B120" s="34" t="n"/>
      <c r="C120" s="34" t="n"/>
      <c r="D120" s="36" t="n"/>
      <c r="E120" s="34" t="n"/>
      <c r="F120" s="34" t="n"/>
    </row>
    <row r="121">
      <c r="A121" s="45" t="n"/>
      <c r="B121" s="34" t="n"/>
      <c r="C121" s="34" t="n"/>
      <c r="D121" s="36" t="n"/>
      <c r="E121" s="34" t="n"/>
      <c r="F121" s="34" t="n"/>
    </row>
    <row r="122">
      <c r="A122" s="45" t="n"/>
      <c r="B122" s="34" t="n"/>
      <c r="C122" s="34" t="n"/>
      <c r="D122" s="36" t="n"/>
      <c r="E122" s="34" t="n"/>
      <c r="F122" s="34" t="n"/>
    </row>
    <row r="123">
      <c r="A123" s="45" t="n"/>
      <c r="B123" s="34" t="n"/>
      <c r="C123" s="34" t="n"/>
      <c r="D123" s="36" t="n"/>
      <c r="E123" s="34" t="n"/>
      <c r="F123" s="34" t="n"/>
    </row>
    <row r="124">
      <c r="A124" s="45" t="n"/>
      <c r="B124" s="34" t="n"/>
      <c r="C124" s="34" t="n"/>
      <c r="D124" s="36" t="n"/>
      <c r="E124" s="34" t="n"/>
      <c r="F124" s="34" t="n"/>
    </row>
    <row r="125">
      <c r="A125" s="45" t="n"/>
      <c r="B125" s="34" t="n"/>
      <c r="C125" s="34" t="n"/>
      <c r="D125" s="36" t="n"/>
      <c r="E125" s="34" t="n"/>
      <c r="F125" s="34" t="n"/>
    </row>
    <row r="126">
      <c r="A126" s="45" t="n"/>
      <c r="B126" s="34" t="n"/>
      <c r="C126" s="34" t="n"/>
      <c r="D126" s="36" t="n"/>
      <c r="E126" s="34" t="n"/>
      <c r="F126" s="34" t="n"/>
    </row>
    <row r="127">
      <c r="A127" s="45" t="n"/>
      <c r="B127" s="34" t="n"/>
      <c r="C127" s="34" t="n"/>
      <c r="D127" s="36" t="n"/>
      <c r="E127" s="34" t="n"/>
      <c r="F127" s="34" t="n"/>
    </row>
    <row r="128">
      <c r="A128" s="45" t="n"/>
      <c r="B128" s="34" t="n"/>
      <c r="C128" s="34" t="n"/>
      <c r="D128" s="36" t="n"/>
      <c r="E128" s="34" t="n"/>
      <c r="F128" s="34" t="n"/>
    </row>
    <row r="129">
      <c r="A129" s="45" t="n"/>
      <c r="B129" s="34" t="n"/>
      <c r="C129" s="34" t="n"/>
      <c r="D129" s="36" t="n"/>
      <c r="E129" s="34" t="n"/>
      <c r="F129" s="34" t="n"/>
    </row>
    <row r="130">
      <c r="A130" s="45" t="n"/>
      <c r="B130" s="34" t="n"/>
      <c r="C130" s="34" t="n"/>
      <c r="D130" s="36" t="n"/>
      <c r="E130" s="34" t="n"/>
      <c r="F130" s="34" t="n"/>
    </row>
    <row r="131">
      <c r="A131" s="45" t="n"/>
      <c r="B131" s="34" t="n"/>
      <c r="C131" s="34" t="n"/>
      <c r="D131" s="36" t="n"/>
      <c r="E131" s="34" t="n"/>
      <c r="F131" s="34" t="n"/>
    </row>
    <row r="132">
      <c r="A132" s="45" t="n"/>
      <c r="B132" s="34" t="n"/>
      <c r="C132" s="34" t="n"/>
      <c r="D132" s="36" t="n"/>
      <c r="E132" s="34" t="n"/>
      <c r="F132" s="34" t="n"/>
    </row>
    <row r="133">
      <c r="A133" s="45" t="n"/>
      <c r="B133" s="34" t="n"/>
      <c r="C133" s="34" t="n"/>
      <c r="D133" s="36" t="n"/>
      <c r="E133" s="34" t="n"/>
      <c r="F133" s="34" t="n"/>
    </row>
    <row r="134">
      <c r="A134" s="45" t="n"/>
      <c r="B134" s="34" t="n"/>
      <c r="C134" s="34" t="n"/>
      <c r="D134" s="36" t="n"/>
      <c r="E134" s="34" t="n"/>
      <c r="F134" s="34" t="n"/>
    </row>
    <row r="135">
      <c r="A135" s="45" t="n"/>
      <c r="B135" s="34" t="n"/>
      <c r="C135" s="34" t="n"/>
      <c r="D135" s="36" t="n"/>
      <c r="E135" s="34" t="n"/>
      <c r="F135" s="34" t="n"/>
    </row>
    <row r="136">
      <c r="A136" s="45" t="n"/>
      <c r="B136" s="34" t="n"/>
      <c r="C136" s="34" t="n"/>
      <c r="D136" s="36" t="n"/>
      <c r="E136" s="34" t="n"/>
      <c r="F136" s="34" t="n"/>
    </row>
    <row r="137">
      <c r="A137" s="45" t="n"/>
      <c r="B137" s="34" t="n"/>
      <c r="C137" s="34" t="n"/>
      <c r="D137" s="36" t="n"/>
      <c r="E137" s="34" t="n"/>
      <c r="F137" s="34" t="n"/>
    </row>
    <row r="138">
      <c r="A138" s="45" t="n"/>
      <c r="B138" s="34" t="n"/>
      <c r="C138" s="34" t="n"/>
      <c r="D138" s="36" t="n"/>
      <c r="E138" s="34" t="n"/>
      <c r="F138" s="34" t="n"/>
    </row>
    <row r="139">
      <c r="A139" s="45" t="n"/>
      <c r="B139" s="34" t="n"/>
      <c r="C139" s="34" t="n"/>
      <c r="D139" s="36" t="n"/>
      <c r="E139" s="34" t="n"/>
      <c r="F139" s="34" t="n"/>
    </row>
    <row r="140">
      <c r="A140" s="45" t="n"/>
      <c r="B140" s="34" t="n"/>
      <c r="C140" s="34" t="n"/>
      <c r="D140" s="36" t="n"/>
      <c r="E140" s="34" t="n"/>
      <c r="F140" s="34" t="n"/>
    </row>
    <row r="141">
      <c r="A141" s="45" t="n"/>
      <c r="B141" s="34" t="n"/>
      <c r="C141" s="34" t="n"/>
      <c r="D141" s="36" t="n"/>
      <c r="E141" s="34" t="n"/>
      <c r="F141" s="34" t="n"/>
    </row>
    <row r="142">
      <c r="A142" s="45" t="n"/>
      <c r="B142" s="34" t="n"/>
      <c r="C142" s="34" t="n"/>
      <c r="D142" s="36" t="n"/>
      <c r="E142" s="34" t="n"/>
      <c r="F142" s="34" t="n"/>
    </row>
    <row r="143">
      <c r="A143" s="45" t="n"/>
      <c r="B143" s="34" t="n"/>
      <c r="C143" s="34" t="n"/>
      <c r="D143" s="36" t="n"/>
      <c r="E143" s="34" t="n"/>
      <c r="F143" s="34" t="n"/>
    </row>
    <row r="144">
      <c r="A144" s="45" t="n"/>
      <c r="B144" s="34" t="n"/>
      <c r="C144" s="34" t="n"/>
      <c r="D144" s="36" t="n"/>
      <c r="E144" s="34" t="n"/>
      <c r="F144" s="34" t="n"/>
    </row>
    <row r="145">
      <c r="A145" s="45" t="n"/>
      <c r="B145" s="34" t="n"/>
      <c r="C145" s="34" t="n"/>
      <c r="D145" s="36" t="n"/>
      <c r="E145" s="34" t="n"/>
      <c r="F145" s="34" t="n"/>
    </row>
    <row r="146">
      <c r="A146" s="45" t="n"/>
      <c r="B146" s="34" t="n"/>
      <c r="C146" s="34" t="n"/>
      <c r="D146" s="36" t="n"/>
      <c r="E146" s="34" t="n"/>
      <c r="F146" s="34" t="n"/>
    </row>
    <row r="147">
      <c r="A147" s="45" t="n"/>
      <c r="B147" s="34" t="n"/>
      <c r="C147" s="34" t="n"/>
      <c r="D147" s="36" t="n"/>
      <c r="E147" s="34" t="n"/>
      <c r="F147" s="34" t="n"/>
    </row>
    <row r="148">
      <c r="A148" s="45" t="n"/>
      <c r="B148" s="34" t="n"/>
      <c r="C148" s="34" t="n"/>
      <c r="D148" s="36" t="n"/>
      <c r="E148" s="34" t="n"/>
      <c r="F148" s="34" t="n"/>
    </row>
    <row r="149">
      <c r="A149" s="45" t="n"/>
      <c r="B149" s="34" t="n"/>
      <c r="C149" s="34" t="n"/>
      <c r="D149" s="36" t="n"/>
      <c r="E149" s="34" t="n"/>
      <c r="F149" s="34" t="n"/>
    </row>
    <row r="150">
      <c r="A150" s="45" t="n"/>
      <c r="B150" s="34" t="n"/>
      <c r="C150" s="34" t="n"/>
      <c r="D150" s="36" t="n"/>
      <c r="E150" s="34" t="n"/>
      <c r="F150" s="34" t="n"/>
    </row>
    <row r="151">
      <c r="A151" s="45" t="n"/>
      <c r="B151" s="34" t="n"/>
      <c r="C151" s="34" t="n"/>
      <c r="D151" s="36" t="n"/>
      <c r="E151" s="34" t="n"/>
      <c r="F151" s="34" t="n"/>
    </row>
    <row r="152">
      <c r="A152" s="45" t="n"/>
      <c r="B152" s="34" t="n"/>
      <c r="C152" s="34" t="n"/>
      <c r="D152" s="36" t="n"/>
      <c r="E152" s="34" t="n"/>
      <c r="F152" s="34" t="n"/>
    </row>
    <row r="153">
      <c r="A153" s="45" t="n"/>
      <c r="B153" s="34" t="n"/>
      <c r="C153" s="34" t="n"/>
      <c r="D153" s="36" t="n"/>
      <c r="E153" s="34" t="n"/>
      <c r="F153" s="34" t="n"/>
    </row>
    <row r="154">
      <c r="A154" s="45" t="n"/>
      <c r="B154" s="34" t="n"/>
      <c r="C154" s="34" t="n"/>
      <c r="D154" s="36" t="n"/>
      <c r="E154" s="34" t="n"/>
      <c r="F154" s="34" t="n"/>
    </row>
    <row r="155">
      <c r="A155" s="45" t="n"/>
      <c r="B155" s="34" t="n"/>
      <c r="C155" s="34" t="n"/>
      <c r="D155" s="36" t="n"/>
      <c r="E155" s="34" t="n"/>
      <c r="F155" s="34" t="n"/>
    </row>
    <row r="156">
      <c r="A156" s="45" t="n"/>
      <c r="B156" s="34" t="n"/>
      <c r="C156" s="34" t="n"/>
      <c r="D156" s="36" t="n"/>
      <c r="E156" s="34" t="n"/>
      <c r="F156" s="34" t="n"/>
    </row>
    <row r="157">
      <c r="A157" s="45" t="n"/>
      <c r="B157" s="34" t="n"/>
      <c r="C157" s="34" t="n"/>
      <c r="D157" s="36" t="n"/>
      <c r="E157" s="34" t="n"/>
      <c r="F157" s="34" t="n"/>
    </row>
    <row r="158">
      <c r="A158" s="45" t="n"/>
      <c r="B158" s="34" t="n"/>
      <c r="C158" s="34" t="n"/>
      <c r="D158" s="36" t="n"/>
      <c r="E158" s="34" t="n"/>
      <c r="F158" s="34" t="n"/>
    </row>
    <row r="159">
      <c r="A159" s="45" t="n"/>
      <c r="B159" s="34" t="n"/>
      <c r="C159" s="34" t="n"/>
      <c r="D159" s="36" t="n"/>
      <c r="E159" s="34" t="n"/>
      <c r="F159" s="34" t="n"/>
    </row>
    <row r="160">
      <c r="A160" s="45" t="n"/>
      <c r="B160" s="34" t="n"/>
      <c r="C160" s="34" t="n"/>
      <c r="D160" s="36" t="n"/>
      <c r="E160" s="34" t="n"/>
      <c r="F160" s="34" t="n"/>
    </row>
    <row r="161">
      <c r="A161" s="45" t="n"/>
      <c r="B161" s="34" t="n"/>
      <c r="C161" s="34" t="n"/>
      <c r="D161" s="36" t="n"/>
      <c r="E161" s="34" t="n"/>
      <c r="F161" s="34" t="n"/>
    </row>
    <row r="162">
      <c r="A162" s="45" t="n"/>
      <c r="B162" s="34" t="n"/>
      <c r="C162" s="34" t="n"/>
      <c r="D162" s="36" t="n"/>
      <c r="E162" s="34" t="n"/>
      <c r="F162" s="34" t="n"/>
    </row>
    <row r="163">
      <c r="A163" s="45" t="n"/>
      <c r="B163" s="34" t="n"/>
      <c r="C163" s="34" t="n"/>
      <c r="D163" s="36" t="n"/>
      <c r="E163" s="34" t="n"/>
      <c r="F163" s="34" t="n"/>
    </row>
    <row r="164">
      <c r="A164" s="45" t="n"/>
      <c r="B164" s="34" t="n"/>
      <c r="C164" s="34" t="n"/>
      <c r="D164" s="36" t="n"/>
      <c r="E164" s="34" t="n"/>
      <c r="F164" s="34" t="n"/>
    </row>
    <row r="165">
      <c r="A165" s="45" t="n"/>
      <c r="B165" s="34" t="n"/>
      <c r="C165" s="34" t="n"/>
      <c r="D165" s="36" t="n"/>
      <c r="E165" s="34" t="n"/>
      <c r="F165" s="34" t="n"/>
    </row>
    <row r="166">
      <c r="A166" s="45" t="n"/>
      <c r="B166" s="34" t="n"/>
      <c r="C166" s="34" t="n"/>
      <c r="D166" s="36" t="n"/>
      <c r="E166" s="34" t="n"/>
      <c r="F166" s="34" t="n"/>
    </row>
    <row r="167">
      <c r="A167" s="45" t="n"/>
      <c r="B167" s="34" t="n"/>
      <c r="C167" s="34" t="n"/>
      <c r="D167" s="36" t="n"/>
      <c r="E167" s="34" t="n"/>
      <c r="F167" s="34" t="n"/>
    </row>
    <row r="168">
      <c r="A168" s="45" t="n"/>
      <c r="B168" s="34" t="n"/>
      <c r="C168" s="34" t="n"/>
      <c r="D168" s="36" t="n"/>
      <c r="E168" s="34" t="n"/>
      <c r="F168" s="34" t="n"/>
    </row>
    <row r="169">
      <c r="A169" s="45" t="n"/>
      <c r="B169" s="34" t="n"/>
      <c r="C169" s="34" t="n"/>
      <c r="D169" s="36" t="n"/>
      <c r="E169" s="34" t="n"/>
      <c r="F169" s="34" t="n"/>
    </row>
    <row r="170">
      <c r="A170" s="45" t="n"/>
      <c r="B170" s="34" t="n"/>
      <c r="C170" s="34" t="n"/>
      <c r="D170" s="36" t="n"/>
      <c r="E170" s="34" t="n"/>
      <c r="F170" s="34" t="n"/>
    </row>
    <row r="171">
      <c r="A171" s="45" t="n"/>
      <c r="B171" s="34" t="n"/>
      <c r="C171" s="34" t="n"/>
      <c r="D171" s="36" t="n"/>
      <c r="E171" s="34" t="n"/>
      <c r="F171" s="34" t="n"/>
    </row>
    <row r="172">
      <c r="A172" s="45" t="n"/>
      <c r="B172" s="34" t="n"/>
      <c r="C172" s="34" t="n"/>
      <c r="D172" s="36" t="n"/>
      <c r="E172" s="34" t="n"/>
      <c r="F172" s="34" t="n"/>
    </row>
    <row r="173">
      <c r="A173" s="45" t="n"/>
      <c r="B173" s="34" t="n"/>
      <c r="C173" s="34" t="n"/>
      <c r="D173" s="36" t="n"/>
      <c r="E173" s="34" t="n"/>
      <c r="F173" s="34" t="n"/>
    </row>
    <row r="174">
      <c r="A174" s="45" t="n"/>
      <c r="B174" s="34" t="n"/>
      <c r="C174" s="34" t="n"/>
      <c r="D174" s="36" t="n"/>
      <c r="E174" s="34" t="n"/>
      <c r="F174" s="34" t="n"/>
    </row>
    <row r="175">
      <c r="A175" s="45" t="n"/>
      <c r="B175" s="34" t="n"/>
      <c r="C175" s="34" t="n"/>
      <c r="D175" s="36" t="n"/>
      <c r="E175" s="34" t="n"/>
      <c r="F175" s="34" t="n"/>
    </row>
    <row r="176">
      <c r="A176" s="45" t="n"/>
      <c r="B176" s="34" t="n"/>
      <c r="C176" s="34" t="n"/>
      <c r="D176" s="36" t="n"/>
      <c r="E176" s="34" t="n"/>
      <c r="F176" s="34" t="n"/>
    </row>
    <row r="177">
      <c r="A177" s="45" t="n"/>
      <c r="B177" s="34" t="n"/>
      <c r="C177" s="34" t="n"/>
      <c r="D177" s="36" t="n"/>
      <c r="E177" s="34" t="n"/>
      <c r="F177" s="34" t="n"/>
    </row>
    <row r="178">
      <c r="A178" s="45" t="n"/>
      <c r="B178" s="34" t="n"/>
      <c r="C178" s="34" t="n"/>
      <c r="D178" s="36" t="n"/>
      <c r="E178" s="34" t="n"/>
      <c r="F178" s="34" t="n"/>
    </row>
    <row r="179">
      <c r="A179" s="45" t="n"/>
      <c r="B179" s="34" t="n"/>
      <c r="C179" s="34" t="n"/>
      <c r="D179" s="36" t="n"/>
      <c r="E179" s="34" t="n"/>
      <c r="F179" s="34" t="n"/>
    </row>
    <row r="180">
      <c r="A180" s="45" t="n"/>
      <c r="B180" s="34" t="n"/>
      <c r="C180" s="34" t="n"/>
      <c r="D180" s="36" t="n"/>
      <c r="E180" s="34" t="n"/>
      <c r="F180" s="34" t="n"/>
    </row>
    <row r="181">
      <c r="A181" s="45" t="n"/>
      <c r="B181" s="34" t="n"/>
      <c r="C181" s="34" t="n"/>
      <c r="D181" s="36" t="n"/>
      <c r="E181" s="34" t="n"/>
      <c r="F181" s="34" t="n"/>
    </row>
    <row r="182">
      <c r="A182" s="45" t="n"/>
      <c r="B182" s="34" t="n"/>
      <c r="C182" s="34" t="n"/>
      <c r="D182" s="36" t="n"/>
      <c r="E182" s="34" t="n"/>
      <c r="F182" s="34" t="n"/>
    </row>
    <row r="183">
      <c r="A183" s="45" t="n"/>
      <c r="B183" s="34" t="n"/>
      <c r="C183" s="34" t="n"/>
      <c r="D183" s="36" t="n"/>
      <c r="E183" s="34" t="n"/>
      <c r="F183" s="34" t="n"/>
    </row>
    <row r="184">
      <c r="A184" s="45" t="n"/>
      <c r="B184" s="34" t="n"/>
      <c r="C184" s="34" t="n"/>
      <c r="D184" s="36" t="n"/>
      <c r="E184" s="34" t="n"/>
      <c r="F184" s="34" t="n"/>
    </row>
    <row r="185">
      <c r="A185" s="45" t="n"/>
      <c r="B185" s="34" t="n"/>
      <c r="C185" s="34" t="n"/>
      <c r="D185" s="36" t="n"/>
      <c r="E185" s="34" t="n"/>
      <c r="F185" s="34" t="n"/>
    </row>
    <row r="186">
      <c r="A186" s="45" t="n"/>
      <c r="B186" s="34" t="n"/>
      <c r="C186" s="34" t="n"/>
      <c r="D186" s="36" t="n"/>
      <c r="E186" s="34" t="n"/>
      <c r="F186" s="34" t="n"/>
    </row>
    <row r="187">
      <c r="A187" s="45" t="n"/>
      <c r="B187" s="34" t="n"/>
      <c r="C187" s="34" t="n"/>
      <c r="D187" s="36" t="n"/>
      <c r="E187" s="34" t="n"/>
      <c r="F187" s="34" t="n"/>
    </row>
    <row r="188">
      <c r="A188" s="45" t="n"/>
      <c r="B188" s="34" t="n"/>
      <c r="C188" s="34" t="n"/>
      <c r="D188" s="36" t="n"/>
      <c r="E188" s="34" t="n"/>
      <c r="F188" s="34" t="n"/>
    </row>
    <row r="189">
      <c r="A189" s="45" t="n"/>
      <c r="B189" s="34" t="n"/>
      <c r="C189" s="34" t="n"/>
      <c r="D189" s="36" t="n"/>
      <c r="E189" s="34" t="n"/>
      <c r="F189" s="34" t="n"/>
    </row>
    <row r="190">
      <c r="A190" s="45" t="n"/>
      <c r="B190" s="34" t="n"/>
      <c r="C190" s="34" t="n"/>
      <c r="D190" s="36" t="n"/>
      <c r="E190" s="34" t="n"/>
      <c r="F190" s="34" t="n"/>
    </row>
    <row r="191">
      <c r="A191" s="45" t="n"/>
      <c r="B191" s="34" t="n"/>
      <c r="C191" s="34" t="n"/>
      <c r="D191" s="36" t="n"/>
      <c r="E191" s="34" t="n"/>
      <c r="F191" s="34" t="n"/>
    </row>
    <row r="192">
      <c r="A192" s="45" t="n"/>
      <c r="B192" s="34" t="n"/>
      <c r="C192" s="34" t="n"/>
      <c r="D192" s="36" t="n"/>
      <c r="E192" s="34" t="n"/>
      <c r="F192" s="34" t="n"/>
    </row>
    <row r="193">
      <c r="A193" s="45" t="n"/>
      <c r="B193" s="34" t="n"/>
      <c r="C193" s="34" t="n"/>
      <c r="D193" s="36" t="n"/>
      <c r="E193" s="34" t="n"/>
      <c r="F193" s="34" t="n"/>
    </row>
    <row r="194">
      <c r="A194" s="45" t="n"/>
      <c r="B194" s="34" t="n"/>
      <c r="C194" s="34" t="n"/>
      <c r="D194" s="36" t="n"/>
      <c r="E194" s="34" t="n"/>
      <c r="F194" s="34" t="n"/>
    </row>
    <row r="195">
      <c r="A195" s="45" t="n"/>
      <c r="B195" s="34" t="n"/>
      <c r="C195" s="34" t="n"/>
      <c r="D195" s="36" t="n"/>
      <c r="E195" s="34" t="n"/>
      <c r="F195" s="34" t="n"/>
    </row>
    <row r="196">
      <c r="A196" s="45" t="n"/>
      <c r="B196" s="34" t="n"/>
      <c r="C196" s="34" t="n"/>
      <c r="D196" s="36" t="n"/>
      <c r="E196" s="34" t="n"/>
      <c r="F196" s="34" t="n"/>
    </row>
    <row r="197">
      <c r="A197" s="45" t="n"/>
      <c r="B197" s="34" t="n"/>
      <c r="C197" s="34" t="n"/>
      <c r="D197" s="36" t="n"/>
      <c r="E197" s="34" t="n"/>
      <c r="F197" s="34" t="n"/>
    </row>
    <row r="198">
      <c r="A198" s="45" t="n"/>
      <c r="B198" s="34" t="n"/>
      <c r="C198" s="34" t="n"/>
      <c r="D198" s="36" t="n"/>
      <c r="E198" s="34" t="n"/>
      <c r="F198" s="34" t="n"/>
    </row>
    <row r="199">
      <c r="A199" s="45" t="n"/>
      <c r="B199" s="34" t="n"/>
      <c r="C199" s="34" t="n"/>
      <c r="D199" s="36" t="n"/>
      <c r="E199" s="34" t="n"/>
      <c r="F199" s="34" t="n"/>
    </row>
    <row r="200">
      <c r="A200" s="45" t="n"/>
      <c r="B200" s="34" t="n"/>
      <c r="C200" s="34" t="n"/>
      <c r="D200" s="36" t="n"/>
      <c r="E200" s="34" t="n"/>
      <c r="F200" s="34" t="n"/>
    </row>
    <row r="201">
      <c r="A201" s="45" t="n"/>
      <c r="B201" s="34" t="n"/>
      <c r="C201" s="34" t="n"/>
      <c r="D201" s="36" t="n"/>
      <c r="E201" s="34" t="n"/>
      <c r="F201" s="34" t="n"/>
    </row>
    <row r="202">
      <c r="A202" s="45" t="n"/>
      <c r="B202" s="34" t="n"/>
      <c r="C202" s="34" t="n"/>
      <c r="D202" s="36" t="n"/>
      <c r="E202" s="34" t="n"/>
      <c r="F202" s="34" t="n"/>
    </row>
    <row r="203">
      <c r="A203" s="45" t="n"/>
      <c r="B203" s="34" t="n"/>
      <c r="C203" s="34" t="n"/>
      <c r="D203" s="36" t="n"/>
      <c r="E203" s="34" t="n"/>
      <c r="F203" s="34" t="n"/>
    </row>
    <row r="204">
      <c r="A204" s="45" t="n"/>
      <c r="B204" s="34" t="n"/>
      <c r="C204" s="34" t="n"/>
      <c r="D204" s="36" t="n"/>
      <c r="E204" s="34" t="n"/>
      <c r="F204" s="34" t="n"/>
    </row>
    <row r="205">
      <c r="A205" s="45" t="n"/>
      <c r="B205" s="34" t="n"/>
      <c r="C205" s="34" t="n"/>
      <c r="D205" s="36" t="n"/>
      <c r="E205" s="34" t="n"/>
      <c r="F205" s="34" t="n"/>
    </row>
    <row r="206">
      <c r="A206" s="45" t="n"/>
      <c r="B206" s="34" t="n"/>
      <c r="C206" s="34" t="n"/>
      <c r="D206" s="36" t="n"/>
      <c r="E206" s="34" t="n"/>
      <c r="F206" s="34" t="n"/>
    </row>
    <row r="207">
      <c r="A207" s="45" t="n"/>
      <c r="B207" s="34" t="n"/>
      <c r="C207" s="34" t="n"/>
      <c r="D207" s="36" t="n"/>
      <c r="E207" s="34" t="n"/>
      <c r="F207" s="34" t="n"/>
    </row>
    <row r="208">
      <c r="A208" s="45" t="n"/>
      <c r="B208" s="34" t="n"/>
      <c r="C208" s="34" t="n"/>
      <c r="D208" s="36" t="n"/>
      <c r="E208" s="34" t="n"/>
      <c r="F208" s="34" t="n"/>
    </row>
    <row r="209">
      <c r="A209" s="45" t="n"/>
      <c r="B209" s="34" t="n"/>
      <c r="C209" s="34" t="n"/>
      <c r="D209" s="36" t="n"/>
      <c r="E209" s="34" t="n"/>
      <c r="F209" s="34" t="n"/>
    </row>
    <row r="210">
      <c r="A210" s="45" t="n"/>
      <c r="B210" s="34" t="n"/>
      <c r="C210" s="34" t="n"/>
      <c r="D210" s="36" t="n"/>
      <c r="E210" s="34" t="n"/>
      <c r="F210" s="34" t="n"/>
    </row>
    <row r="211">
      <c r="A211" s="45" t="n"/>
      <c r="B211" s="34" t="n"/>
      <c r="C211" s="34" t="n"/>
      <c r="D211" s="36" t="n"/>
      <c r="E211" s="34" t="n"/>
      <c r="F211" s="34" t="n"/>
    </row>
    <row r="212">
      <c r="A212" s="45" t="n"/>
      <c r="B212" s="34" t="n"/>
      <c r="C212" s="34" t="n"/>
      <c r="D212" s="36" t="n"/>
      <c r="E212" s="34" t="n"/>
      <c r="F212" s="34" t="n"/>
    </row>
    <row r="213">
      <c r="A213" s="45" t="n"/>
      <c r="B213" s="34" t="n"/>
      <c r="C213" s="34" t="n"/>
      <c r="D213" s="36" t="n"/>
      <c r="E213" s="34" t="n"/>
      <c r="F213" s="34" t="n"/>
    </row>
    <row r="214">
      <c r="A214" s="45" t="n"/>
      <c r="B214" s="34" t="n"/>
      <c r="C214" s="34" t="n"/>
      <c r="D214" s="36" t="n"/>
      <c r="E214" s="34" t="n"/>
      <c r="F214" s="34" t="n"/>
    </row>
    <row r="215">
      <c r="A215" s="45" t="n"/>
      <c r="B215" s="34" t="n"/>
      <c r="C215" s="34" t="n"/>
      <c r="D215" s="36" t="n"/>
      <c r="E215" s="34" t="n"/>
      <c r="F215" s="34" t="n"/>
    </row>
    <row r="216">
      <c r="A216" s="45" t="n"/>
      <c r="B216" s="34" t="n"/>
      <c r="C216" s="34" t="n"/>
      <c r="D216" s="36" t="n"/>
      <c r="E216" s="34" t="n"/>
      <c r="F216" s="34" t="n"/>
    </row>
    <row r="217">
      <c r="A217" s="45" t="n"/>
      <c r="B217" s="34" t="n"/>
      <c r="C217" s="34" t="n"/>
      <c r="D217" s="36" t="n"/>
      <c r="E217" s="34" t="n"/>
      <c r="F217" s="34" t="n"/>
    </row>
    <row r="218">
      <c r="A218" s="45" t="n"/>
      <c r="B218" s="34" t="n"/>
      <c r="C218" s="34" t="n"/>
      <c r="D218" s="36" t="n"/>
      <c r="E218" s="34" t="n"/>
      <c r="F218" s="34" t="n"/>
    </row>
    <row r="219">
      <c r="A219" s="45" t="n"/>
      <c r="B219" s="34" t="n"/>
      <c r="C219" s="34" t="n"/>
      <c r="D219" s="36" t="n"/>
      <c r="E219" s="34" t="n"/>
      <c r="F219" s="34" t="n"/>
    </row>
    <row r="220">
      <c r="A220" s="45" t="n"/>
      <c r="B220" s="34" t="n"/>
      <c r="C220" s="34" t="n"/>
      <c r="D220" s="36" t="n"/>
      <c r="E220" s="34" t="n"/>
      <c r="F220" s="34" t="n"/>
    </row>
    <row r="221">
      <c r="A221" s="45" t="n"/>
      <c r="B221" s="34" t="n"/>
      <c r="C221" s="34" t="n"/>
      <c r="D221" s="36" t="n"/>
      <c r="E221" s="34" t="n"/>
      <c r="F221" s="34" t="n"/>
    </row>
    <row r="222">
      <c r="A222" s="45" t="n"/>
      <c r="B222" s="34" t="n"/>
      <c r="C222" s="34" t="n"/>
      <c r="D222" s="36" t="n"/>
      <c r="E222" s="34" t="n"/>
      <c r="F222" s="34" t="n"/>
    </row>
    <row r="223">
      <c r="A223" s="45" t="n"/>
      <c r="B223" s="34" t="n"/>
      <c r="C223" s="34" t="n"/>
      <c r="D223" s="36" t="n"/>
      <c r="E223" s="34" t="n"/>
      <c r="F223" s="34" t="n"/>
    </row>
    <row r="224">
      <c r="A224" s="45" t="n"/>
      <c r="B224" s="34" t="n"/>
      <c r="C224" s="34" t="n"/>
      <c r="D224" s="36" t="n"/>
      <c r="E224" s="34" t="n"/>
      <c r="F224" s="34" t="n"/>
    </row>
    <row r="225">
      <c r="A225" s="45" t="n"/>
      <c r="B225" s="34" t="n"/>
      <c r="C225" s="34" t="n"/>
      <c r="D225" s="36" t="n"/>
      <c r="E225" s="34" t="n"/>
      <c r="F225" s="34" t="n"/>
    </row>
    <row r="226">
      <c r="A226" s="45" t="n"/>
      <c r="B226" s="34" t="n"/>
      <c r="C226" s="34" t="n"/>
      <c r="D226" s="36" t="n"/>
      <c r="E226" s="34" t="n"/>
      <c r="F226" s="34" t="n"/>
    </row>
    <row r="227">
      <c r="A227" s="45" t="n"/>
      <c r="B227" s="34" t="n"/>
      <c r="C227" s="34" t="n"/>
      <c r="D227" s="36" t="n"/>
      <c r="E227" s="34" t="n"/>
      <c r="F227" s="34" t="n"/>
    </row>
    <row r="228">
      <c r="A228" s="45" t="n"/>
      <c r="B228" s="34" t="n"/>
      <c r="C228" s="34" t="n"/>
      <c r="D228" s="36" t="n"/>
      <c r="E228" s="34" t="n"/>
      <c r="F228" s="34" t="n"/>
    </row>
    <row r="229">
      <c r="A229" s="45" t="n"/>
      <c r="B229" s="34" t="n"/>
      <c r="C229" s="34" t="n"/>
      <c r="D229" s="36" t="n"/>
      <c r="E229" s="34" t="n"/>
      <c r="F229" s="34" t="n"/>
    </row>
    <row r="230">
      <c r="A230" s="45" t="n"/>
      <c r="B230" s="34" t="n"/>
      <c r="C230" s="34" t="n"/>
      <c r="D230" s="36" t="n"/>
      <c r="E230" s="34" t="n"/>
      <c r="F230" s="34" t="n"/>
    </row>
    <row r="231">
      <c r="A231" s="45" t="n"/>
      <c r="B231" s="34" t="n"/>
      <c r="C231" s="34" t="n"/>
      <c r="D231" s="36" t="n"/>
      <c r="E231" s="34" t="n"/>
      <c r="F231" s="34" t="n"/>
    </row>
    <row r="232">
      <c r="A232" s="45" t="n"/>
      <c r="B232" s="34" t="n"/>
      <c r="C232" s="34" t="n"/>
      <c r="D232" s="36" t="n"/>
      <c r="E232" s="34" t="n"/>
      <c r="F232" s="34" t="n"/>
    </row>
    <row r="233">
      <c r="A233" s="45" t="n"/>
      <c r="B233" s="34" t="n"/>
      <c r="C233" s="34" t="n"/>
      <c r="D233" s="36" t="n"/>
      <c r="E233" s="34" t="n"/>
      <c r="F233" s="34" t="n"/>
    </row>
    <row r="234">
      <c r="A234" s="45" t="n"/>
      <c r="B234" s="34" t="n"/>
      <c r="C234" s="34" t="n"/>
      <c r="D234" s="36" t="n"/>
      <c r="E234" s="34" t="n"/>
      <c r="F234" s="34" t="n"/>
    </row>
    <row r="235">
      <c r="A235" s="45" t="n"/>
      <c r="B235" s="34" t="n"/>
      <c r="C235" s="34" t="n"/>
      <c r="D235" s="36" t="n"/>
      <c r="E235" s="34" t="n"/>
      <c r="F235" s="34" t="n"/>
    </row>
    <row r="236">
      <c r="A236" s="45" t="n"/>
      <c r="B236" s="34" t="n"/>
      <c r="C236" s="34" t="n"/>
      <c r="D236" s="36" t="n"/>
      <c r="E236" s="34" t="n"/>
      <c r="F236" s="34" t="n"/>
    </row>
    <row r="237">
      <c r="A237" s="45" t="n"/>
      <c r="B237" s="34" t="n"/>
      <c r="C237" s="34" t="n"/>
      <c r="D237" s="36" t="n"/>
      <c r="E237" s="34" t="n"/>
      <c r="F237" s="34" t="n"/>
    </row>
    <row r="238">
      <c r="A238" s="45" t="n"/>
      <c r="B238" s="34" t="n"/>
      <c r="C238" s="34" t="n"/>
      <c r="D238" s="36" t="n"/>
      <c r="E238" s="34" t="n"/>
      <c r="F238" s="34" t="n"/>
    </row>
    <row r="239">
      <c r="A239" s="45" t="n"/>
      <c r="B239" s="34" t="n"/>
      <c r="C239" s="34" t="n"/>
      <c r="D239" s="36" t="n"/>
      <c r="E239" s="34" t="n"/>
      <c r="F239" s="34" t="n"/>
    </row>
    <row r="240">
      <c r="A240" s="45" t="n"/>
      <c r="B240" s="34" t="n"/>
      <c r="C240" s="34" t="n"/>
      <c r="D240" s="36" t="n"/>
      <c r="E240" s="34" t="n"/>
      <c r="F240" s="34" t="n"/>
    </row>
    <row r="241">
      <c r="A241" s="45" t="n"/>
      <c r="B241" s="34" t="n"/>
      <c r="C241" s="34" t="n"/>
      <c r="D241" s="36" t="n"/>
      <c r="E241" s="34" t="n"/>
      <c r="F241" s="34" t="n"/>
    </row>
    <row r="242">
      <c r="A242" s="45" t="n"/>
      <c r="B242" s="34" t="n"/>
      <c r="C242" s="34" t="n"/>
      <c r="D242" s="36" t="n"/>
      <c r="E242" s="34" t="n"/>
      <c r="F242" s="34" t="n"/>
    </row>
    <row r="243">
      <c r="A243" s="45" t="n"/>
      <c r="B243" s="34" t="n"/>
      <c r="C243" s="34" t="n"/>
      <c r="D243" s="36" t="n"/>
      <c r="E243" s="34" t="n"/>
      <c r="F243" s="34" t="n"/>
    </row>
    <row r="244">
      <c r="A244" s="45" t="n"/>
      <c r="B244" s="34" t="n"/>
      <c r="C244" s="34" t="n"/>
      <c r="D244" s="36" t="n"/>
      <c r="E244" s="34" t="n"/>
      <c r="F244" s="34" t="n"/>
    </row>
    <row r="245">
      <c r="A245" s="45" t="n"/>
      <c r="B245" s="34" t="n"/>
      <c r="C245" s="34" t="n"/>
      <c r="D245" s="36" t="n"/>
      <c r="E245" s="34" t="n"/>
      <c r="F245" s="34" t="n"/>
    </row>
    <row r="246">
      <c r="A246" s="45" t="n"/>
      <c r="B246" s="34" t="n"/>
      <c r="C246" s="34" t="n"/>
      <c r="D246" s="36" t="n"/>
      <c r="E246" s="34" t="n"/>
      <c r="F246" s="34" t="n"/>
    </row>
    <row r="247">
      <c r="A247" s="45" t="n"/>
      <c r="B247" s="34" t="n"/>
      <c r="C247" s="34" t="n"/>
      <c r="D247" s="36" t="n"/>
      <c r="E247" s="34" t="n"/>
      <c r="F247" s="34" t="n"/>
    </row>
    <row r="248">
      <c r="A248" s="45" t="n"/>
      <c r="B248" s="34" t="n"/>
      <c r="C248" s="34" t="n"/>
      <c r="D248" s="36" t="n"/>
      <c r="E248" s="34" t="n"/>
      <c r="F248" s="34" t="n"/>
    </row>
    <row r="249">
      <c r="A249" s="45" t="n"/>
      <c r="B249" s="34" t="n"/>
      <c r="C249" s="34" t="n"/>
      <c r="D249" s="36" t="n"/>
      <c r="E249" s="34" t="n"/>
      <c r="F249" s="34" t="n"/>
    </row>
    <row r="250">
      <c r="A250" s="45" t="n"/>
      <c r="B250" s="34" t="n"/>
      <c r="C250" s="34" t="n"/>
      <c r="D250" s="36" t="n"/>
      <c r="E250" s="34" t="n"/>
      <c r="F250" s="34" t="n"/>
    </row>
    <row r="251">
      <c r="A251" s="45" t="n"/>
      <c r="B251" s="34" t="n"/>
      <c r="C251" s="34" t="n"/>
      <c r="D251" s="36" t="n"/>
      <c r="E251" s="34" t="n"/>
      <c r="F251" s="34" t="n"/>
    </row>
    <row r="252">
      <c r="A252" s="45" t="n"/>
      <c r="B252" s="34" t="n"/>
      <c r="C252" s="34" t="n"/>
      <c r="D252" s="36" t="n"/>
      <c r="E252" s="34" t="n"/>
      <c r="F252" s="34" t="n"/>
    </row>
    <row r="253">
      <c r="A253" s="45" t="n"/>
      <c r="B253" s="34" t="n"/>
      <c r="C253" s="34" t="n"/>
      <c r="D253" s="36" t="n"/>
      <c r="E253" s="34" t="n"/>
      <c r="F253" s="34" t="n"/>
    </row>
    <row r="254">
      <c r="A254" s="45" t="n"/>
      <c r="B254" s="34" t="n"/>
      <c r="C254" s="34" t="n"/>
      <c r="D254" s="36" t="n"/>
      <c r="E254" s="34" t="n"/>
      <c r="F254" s="34" t="n"/>
    </row>
    <row r="255">
      <c r="A255" s="45" t="n"/>
      <c r="B255" s="34" t="n"/>
      <c r="C255" s="34" t="n"/>
      <c r="D255" s="36" t="n"/>
      <c r="E255" s="34" t="n"/>
      <c r="F255" s="34" t="n"/>
    </row>
    <row r="256">
      <c r="A256" s="45" t="n"/>
      <c r="B256" s="34" t="n"/>
      <c r="C256" s="34" t="n"/>
      <c r="D256" s="36" t="n"/>
      <c r="E256" s="34" t="n"/>
      <c r="F256" s="34" t="n"/>
    </row>
    <row r="257">
      <c r="A257" s="45" t="n"/>
      <c r="B257" s="34" t="n"/>
      <c r="C257" s="34" t="n"/>
      <c r="D257" s="36" t="n"/>
      <c r="E257" s="34" t="n"/>
      <c r="F257" s="34" t="n"/>
    </row>
    <row r="258">
      <c r="A258" s="45" t="n"/>
      <c r="B258" s="34" t="n"/>
      <c r="C258" s="34" t="n"/>
      <c r="D258" s="36" t="n"/>
      <c r="E258" s="34" t="n"/>
      <c r="F258" s="34" t="n"/>
    </row>
    <row r="259">
      <c r="A259" s="45" t="n"/>
      <c r="B259" s="34" t="n"/>
      <c r="C259" s="34" t="n"/>
      <c r="D259" s="36" t="n"/>
      <c r="E259" s="34" t="n"/>
      <c r="F259" s="34" t="n"/>
    </row>
    <row r="260">
      <c r="A260" s="45" t="n"/>
      <c r="B260" s="34" t="n"/>
      <c r="C260" s="34" t="n"/>
      <c r="D260" s="36" t="n"/>
      <c r="E260" s="34" t="n"/>
      <c r="F260" s="34" t="n"/>
    </row>
    <row r="261">
      <c r="A261" s="45" t="n"/>
      <c r="B261" s="34" t="n"/>
      <c r="C261" s="34" t="n"/>
      <c r="D261" s="36" t="n"/>
      <c r="E261" s="34" t="n"/>
      <c r="F261" s="34" t="n"/>
    </row>
    <row r="262">
      <c r="A262" s="45" t="n"/>
      <c r="B262" s="34" t="n"/>
      <c r="C262" s="34" t="n"/>
      <c r="D262" s="36" t="n"/>
      <c r="E262" s="34" t="n"/>
      <c r="F262" s="34" t="n"/>
    </row>
    <row r="263">
      <c r="A263" s="45" t="n"/>
      <c r="B263" s="34" t="n"/>
      <c r="C263" s="34" t="n"/>
      <c r="D263" s="36" t="n"/>
      <c r="E263" s="34" t="n"/>
      <c r="F263" s="34" t="n"/>
    </row>
    <row r="264">
      <c r="A264" s="45" t="n"/>
      <c r="B264" s="34" t="n"/>
      <c r="C264" s="34" t="n"/>
      <c r="D264" s="36" t="n"/>
      <c r="E264" s="34" t="n"/>
      <c r="F264" s="34" t="n"/>
    </row>
    <row r="265">
      <c r="A265" s="45" t="n"/>
      <c r="B265" s="34" t="n"/>
      <c r="C265" s="34" t="n"/>
      <c r="D265" s="36" t="n"/>
      <c r="E265" s="34" t="n"/>
      <c r="F265" s="34" t="n"/>
    </row>
    <row r="266">
      <c r="A266" s="45" t="n"/>
      <c r="B266" s="34" t="n"/>
      <c r="C266" s="34" t="n"/>
      <c r="D266" s="36" t="n"/>
      <c r="E266" s="34" t="n"/>
      <c r="F266" s="34" t="n"/>
    </row>
    <row r="267">
      <c r="A267" s="45" t="n"/>
      <c r="B267" s="34" t="n"/>
      <c r="C267" s="34" t="n"/>
      <c r="D267" s="36" t="n"/>
      <c r="E267" s="34" t="n"/>
      <c r="F267" s="34" t="n"/>
    </row>
    <row r="268">
      <c r="A268" s="45" t="n"/>
      <c r="B268" s="34" t="n"/>
      <c r="C268" s="34" t="n"/>
      <c r="D268" s="36" t="n"/>
      <c r="E268" s="34" t="n"/>
      <c r="F268" s="34" t="n"/>
    </row>
    <row r="269">
      <c r="A269" s="45" t="n"/>
      <c r="B269" s="34" t="n"/>
      <c r="C269" s="34" t="n"/>
      <c r="D269" s="36" t="n"/>
      <c r="E269" s="34" t="n"/>
      <c r="F269" s="34" t="n"/>
    </row>
    <row r="270">
      <c r="A270" s="45" t="n"/>
      <c r="B270" s="34" t="n"/>
      <c r="C270" s="34" t="n"/>
      <c r="D270" s="36" t="n"/>
      <c r="E270" s="34" t="n"/>
      <c r="F270" s="34" t="n"/>
    </row>
    <row r="271">
      <c r="A271" s="45" t="n"/>
      <c r="B271" s="34" t="n"/>
      <c r="C271" s="34" t="n"/>
      <c r="D271" s="36" t="n"/>
      <c r="E271" s="34" t="n"/>
      <c r="F271" s="34" t="n"/>
    </row>
    <row r="272">
      <c r="A272" s="45" t="n"/>
      <c r="B272" s="34" t="n"/>
      <c r="C272" s="34" t="n"/>
      <c r="D272" s="36" t="n"/>
      <c r="E272" s="34" t="n"/>
      <c r="F272" s="34" t="n"/>
    </row>
    <row r="273">
      <c r="A273" s="45" t="n"/>
      <c r="B273" s="34" t="n"/>
      <c r="C273" s="34" t="n"/>
      <c r="D273" s="36" t="n"/>
      <c r="E273" s="34" t="n"/>
      <c r="F273" s="34" t="n"/>
    </row>
    <row r="274">
      <c r="A274" s="45" t="n"/>
      <c r="B274" s="34" t="n"/>
      <c r="C274" s="34" t="n"/>
      <c r="D274" s="36" t="n"/>
      <c r="E274" s="34" t="n"/>
      <c r="F274" s="34" t="n"/>
    </row>
    <row r="275">
      <c r="A275" s="45" t="n"/>
      <c r="B275" s="34" t="n"/>
      <c r="C275" s="34" t="n"/>
      <c r="D275" s="36" t="n"/>
      <c r="E275" s="34" t="n"/>
      <c r="F275" s="34" t="n"/>
    </row>
    <row r="276">
      <c r="A276" s="45" t="n"/>
      <c r="B276" s="34" t="n"/>
      <c r="C276" s="34" t="n"/>
      <c r="D276" s="36" t="n"/>
      <c r="E276" s="34" t="n"/>
      <c r="F276" s="34" t="n"/>
    </row>
    <row r="277">
      <c r="A277" s="45" t="n"/>
      <c r="B277" s="34" t="n"/>
      <c r="C277" s="34" t="n"/>
      <c r="D277" s="36" t="n"/>
      <c r="E277" s="34" t="n"/>
      <c r="F277" s="34" t="n"/>
    </row>
    <row r="278">
      <c r="A278" s="45" t="n"/>
      <c r="B278" s="34" t="n"/>
      <c r="C278" s="34" t="n"/>
      <c r="D278" s="36" t="n"/>
      <c r="E278" s="34" t="n"/>
      <c r="F278" s="34" t="n"/>
    </row>
    <row r="279">
      <c r="A279" s="45" t="n"/>
      <c r="B279" s="34" t="n"/>
      <c r="C279" s="34" t="n"/>
      <c r="D279" s="36" t="n"/>
      <c r="E279" s="34" t="n"/>
      <c r="F279" s="34" t="n"/>
    </row>
    <row r="280">
      <c r="A280" s="45" t="n"/>
      <c r="B280" s="34" t="n"/>
      <c r="C280" s="34" t="n"/>
      <c r="D280" s="36" t="n"/>
      <c r="E280" s="34" t="n"/>
      <c r="F280" s="34" t="n"/>
    </row>
    <row r="281">
      <c r="A281" s="45" t="n"/>
      <c r="B281" s="34" t="n"/>
      <c r="C281" s="34" t="n"/>
      <c r="D281" s="36" t="n"/>
      <c r="E281" s="34" t="n"/>
      <c r="F281" s="34" t="n"/>
    </row>
    <row r="282">
      <c r="A282" s="45" t="n"/>
      <c r="B282" s="34" t="n"/>
      <c r="C282" s="34" t="n"/>
      <c r="D282" s="36" t="n"/>
      <c r="E282" s="34" t="n"/>
      <c r="F282" s="34" t="n"/>
    </row>
    <row r="283">
      <c r="A283" s="45" t="n"/>
      <c r="B283" s="34" t="n"/>
      <c r="C283" s="34" t="n"/>
      <c r="D283" s="36" t="n"/>
      <c r="E283" s="34" t="n"/>
      <c r="F283" s="34" t="n"/>
    </row>
    <row r="284">
      <c r="A284" s="45" t="n"/>
      <c r="B284" s="34" t="n"/>
      <c r="C284" s="34" t="n"/>
      <c r="D284" s="36" t="n"/>
      <c r="E284" s="34" t="n"/>
      <c r="F284" s="34" t="n"/>
    </row>
    <row r="285">
      <c r="A285" s="45" t="n"/>
      <c r="B285" s="34" t="n"/>
      <c r="C285" s="34" t="n"/>
      <c r="D285" s="36" t="n"/>
      <c r="E285" s="34" t="n"/>
      <c r="F285" s="34" t="n"/>
    </row>
    <row r="286">
      <c r="A286" s="45" t="n"/>
      <c r="B286" s="34" t="n"/>
      <c r="C286" s="34" t="n"/>
      <c r="D286" s="36" t="n"/>
      <c r="E286" s="34" t="n"/>
      <c r="F286" s="34" t="n"/>
    </row>
    <row r="287">
      <c r="A287" s="45" t="n"/>
      <c r="B287" s="34" t="n"/>
      <c r="C287" s="34" t="n"/>
      <c r="D287" s="36" t="n"/>
      <c r="E287" s="34" t="n"/>
      <c r="F287" s="34" t="n"/>
    </row>
    <row r="288">
      <c r="A288" s="45" t="n"/>
      <c r="B288" s="34" t="n"/>
      <c r="C288" s="34" t="n"/>
      <c r="D288" s="36" t="n"/>
      <c r="E288" s="34" t="n"/>
      <c r="F288" s="34" t="n"/>
    </row>
    <row r="289">
      <c r="A289" s="45" t="n"/>
      <c r="B289" s="34" t="n"/>
      <c r="C289" s="34" t="n"/>
      <c r="D289" s="36" t="n"/>
      <c r="E289" s="34" t="n"/>
      <c r="F289" s="34" t="n"/>
    </row>
    <row r="290">
      <c r="A290" s="45" t="n"/>
      <c r="B290" s="34" t="n"/>
      <c r="C290" s="34" t="n"/>
      <c r="D290" s="36" t="n"/>
      <c r="E290" s="34" t="n"/>
      <c r="F290" s="34" t="n"/>
    </row>
    <row r="291">
      <c r="A291" s="45" t="n"/>
      <c r="B291" s="34" t="n"/>
      <c r="C291" s="34" t="n"/>
      <c r="D291" s="36" t="n"/>
      <c r="E291" s="34" t="n"/>
      <c r="F291" s="34" t="n"/>
    </row>
    <row r="292">
      <c r="A292" s="45" t="n"/>
      <c r="B292" s="34" t="n"/>
      <c r="C292" s="34" t="n"/>
      <c r="D292" s="36" t="n"/>
      <c r="E292" s="34" t="n"/>
      <c r="F292" s="34" t="n"/>
    </row>
    <row r="293">
      <c r="A293" s="45" t="n"/>
      <c r="B293" s="34" t="n"/>
      <c r="C293" s="34" t="n"/>
      <c r="D293" s="36" t="n"/>
      <c r="E293" s="34" t="n"/>
      <c r="F293" s="34" t="n"/>
    </row>
    <row r="294">
      <c r="A294" s="45" t="n"/>
      <c r="B294" s="34" t="n"/>
      <c r="C294" s="34" t="n"/>
      <c r="D294" s="36" t="n"/>
      <c r="E294" s="34" t="n"/>
      <c r="F294" s="34" t="n"/>
    </row>
    <row r="295">
      <c r="A295" s="45" t="n"/>
      <c r="B295" s="34" t="n"/>
      <c r="C295" s="34" t="n"/>
      <c r="D295" s="36" t="n"/>
      <c r="E295" s="34" t="n"/>
      <c r="F295" s="34" t="n"/>
    </row>
    <row r="296">
      <c r="A296" s="45" t="n"/>
      <c r="B296" s="34" t="n"/>
      <c r="C296" s="34" t="n"/>
      <c r="D296" s="36" t="n"/>
      <c r="E296" s="34" t="n"/>
      <c r="F296" s="34" t="n"/>
    </row>
    <row r="297">
      <c r="A297" s="45" t="n"/>
      <c r="B297" s="34" t="n"/>
      <c r="C297" s="34" t="n"/>
      <c r="D297" s="36" t="n"/>
      <c r="E297" s="34" t="n"/>
      <c r="F297" s="34" t="n"/>
    </row>
    <row r="298">
      <c r="A298" s="45" t="n"/>
      <c r="B298" s="34" t="n"/>
      <c r="C298" s="34" t="n"/>
      <c r="D298" s="36" t="n"/>
      <c r="E298" s="34" t="n"/>
      <c r="F298" s="34" t="n"/>
    </row>
    <row r="299">
      <c r="A299" s="45" t="n"/>
      <c r="B299" s="34" t="n"/>
      <c r="C299" s="34" t="n"/>
      <c r="D299" s="36" t="n"/>
      <c r="E299" s="34" t="n"/>
      <c r="F299" s="34" t="n"/>
    </row>
    <row r="300">
      <c r="A300" s="45" t="n"/>
      <c r="B300" s="34" t="n"/>
      <c r="C300" s="34" t="n"/>
      <c r="D300" s="36" t="n"/>
      <c r="E300" s="34" t="n"/>
      <c r="F300" s="34" t="n"/>
    </row>
    <row r="301">
      <c r="A301" s="45" t="n"/>
      <c r="B301" s="34" t="n"/>
      <c r="C301" s="34" t="n"/>
      <c r="D301" s="36" t="n"/>
      <c r="E301" s="34" t="n"/>
      <c r="F301" s="34" t="n"/>
    </row>
    <row r="302">
      <c r="A302" s="45" t="n"/>
      <c r="B302" s="34" t="n"/>
      <c r="C302" s="34" t="n"/>
      <c r="D302" s="36" t="n"/>
      <c r="E302" s="34" t="n"/>
      <c r="F302" s="34" t="n"/>
    </row>
    <row r="303">
      <c r="A303" s="45" t="n"/>
      <c r="B303" s="34" t="n"/>
      <c r="C303" s="34" t="n"/>
      <c r="D303" s="36" t="n"/>
      <c r="E303" s="34" t="n"/>
      <c r="F303" s="34" t="n"/>
    </row>
    <row r="304">
      <c r="A304" s="45" t="n"/>
      <c r="B304" s="34" t="n"/>
      <c r="C304" s="34" t="n"/>
      <c r="D304" s="36" t="n"/>
      <c r="E304" s="34" t="n"/>
      <c r="F304" s="34" t="n"/>
    </row>
    <row r="305">
      <c r="A305" s="45" t="n"/>
      <c r="B305" s="34" t="n"/>
      <c r="C305" s="34" t="n"/>
      <c r="D305" s="36" t="n"/>
      <c r="E305" s="34" t="n"/>
      <c r="F305" s="34" t="n"/>
    </row>
    <row r="306">
      <c r="A306" s="45" t="n"/>
      <c r="B306" s="34" t="n"/>
      <c r="C306" s="34" t="n"/>
      <c r="D306" s="36" t="n"/>
      <c r="E306" s="34" t="n"/>
      <c r="F306" s="34" t="n"/>
    </row>
    <row r="307">
      <c r="A307" s="45" t="n"/>
      <c r="B307" s="34" t="n"/>
      <c r="C307" s="34" t="n"/>
      <c r="D307" s="36" t="n"/>
      <c r="E307" s="34" t="n"/>
      <c r="F307" s="34" t="n"/>
    </row>
    <row r="308">
      <c r="A308" s="45" t="n"/>
      <c r="B308" s="34" t="n"/>
      <c r="C308" s="34" t="n"/>
      <c r="D308" s="36" t="n"/>
      <c r="E308" s="34" t="n"/>
      <c r="F308" s="34" t="n"/>
    </row>
    <row r="309">
      <c r="A309" s="45" t="n"/>
      <c r="B309" s="34" t="n"/>
      <c r="C309" s="34" t="n"/>
      <c r="D309" s="36" t="n"/>
      <c r="E309" s="34" t="n"/>
      <c r="F309" s="34" t="n"/>
    </row>
    <row r="310">
      <c r="A310" s="45" t="n"/>
      <c r="B310" s="34" t="n"/>
      <c r="C310" s="34" t="n"/>
      <c r="D310" s="36" t="n"/>
      <c r="E310" s="34" t="n"/>
      <c r="F310" s="34" t="n"/>
    </row>
    <row r="311">
      <c r="A311" s="45" t="n"/>
      <c r="B311" s="34" t="n"/>
      <c r="C311" s="34" t="n"/>
      <c r="D311" s="36" t="n"/>
      <c r="E311" s="34" t="n"/>
      <c r="F311" s="34" t="n"/>
    </row>
    <row r="312">
      <c r="A312" s="45" t="n"/>
      <c r="B312" s="34" t="n"/>
      <c r="C312" s="34" t="n"/>
      <c r="D312" s="36" t="n"/>
      <c r="E312" s="34" t="n"/>
      <c r="F312" s="34" t="n"/>
    </row>
    <row r="313">
      <c r="A313" s="45" t="n"/>
      <c r="B313" s="34" t="n"/>
      <c r="C313" s="34" t="n"/>
      <c r="D313" s="36" t="n"/>
      <c r="E313" s="34" t="n"/>
      <c r="F313" s="34" t="n"/>
    </row>
    <row r="314">
      <c r="A314" s="45" t="n"/>
      <c r="B314" s="34" t="n"/>
      <c r="C314" s="34" t="n"/>
      <c r="D314" s="36" t="n"/>
      <c r="E314" s="34" t="n"/>
      <c r="F314" s="34" t="n"/>
    </row>
    <row r="315">
      <c r="A315" s="45" t="n"/>
      <c r="B315" s="34" t="n"/>
      <c r="C315" s="34" t="n"/>
      <c r="D315" s="36" t="n"/>
      <c r="E315" s="34" t="n"/>
      <c r="F315" s="34" t="n"/>
    </row>
    <row r="316">
      <c r="A316" s="45" t="n"/>
      <c r="B316" s="34" t="n"/>
      <c r="C316" s="34" t="n"/>
      <c r="D316" s="36" t="n"/>
      <c r="E316" s="34" t="n"/>
      <c r="F316" s="34" t="n"/>
    </row>
    <row r="317">
      <c r="A317" s="45" t="n"/>
      <c r="B317" s="34" t="n"/>
      <c r="C317" s="34" t="n"/>
      <c r="D317" s="36" t="n"/>
      <c r="E317" s="34" t="n"/>
      <c r="F317" s="34" t="n"/>
    </row>
    <row r="318">
      <c r="A318" s="45" t="n"/>
      <c r="B318" s="34" t="n"/>
      <c r="C318" s="34" t="n"/>
      <c r="D318" s="36" t="n"/>
      <c r="E318" s="34" t="n"/>
      <c r="F318" s="34" t="n"/>
    </row>
    <row r="319">
      <c r="A319" s="45" t="n"/>
      <c r="B319" s="34" t="n"/>
      <c r="C319" s="34" t="n"/>
      <c r="D319" s="36" t="n"/>
      <c r="E319" s="34" t="n"/>
      <c r="F319" s="34" t="n"/>
    </row>
    <row r="320">
      <c r="A320" s="45" t="n"/>
      <c r="B320" s="34" t="n"/>
      <c r="C320" s="34" t="n"/>
      <c r="D320" s="36" t="n"/>
      <c r="E320" s="34" t="n"/>
      <c r="F320" s="34" t="n"/>
    </row>
    <row r="321">
      <c r="A321" s="45" t="n"/>
      <c r="B321" s="34" t="n"/>
      <c r="C321" s="34" t="n"/>
      <c r="D321" s="36" t="n"/>
      <c r="E321" s="34" t="n"/>
      <c r="F321" s="34" t="n"/>
    </row>
    <row r="322">
      <c r="A322" s="45" t="n"/>
      <c r="B322" s="34" t="n"/>
      <c r="C322" s="34" t="n"/>
      <c r="D322" s="36" t="n"/>
      <c r="E322" s="34" t="n"/>
      <c r="F322" s="34" t="n"/>
    </row>
    <row r="323">
      <c r="A323" s="45" t="n"/>
      <c r="B323" s="34" t="n"/>
      <c r="C323" s="34" t="n"/>
      <c r="D323" s="36" t="n"/>
      <c r="E323" s="34" t="n"/>
      <c r="F323" s="34" t="n"/>
    </row>
    <row r="324">
      <c r="A324" s="45" t="n"/>
      <c r="B324" s="34" t="n"/>
      <c r="C324" s="34" t="n"/>
      <c r="D324" s="36" t="n"/>
      <c r="E324" s="34" t="n"/>
      <c r="F324" s="34" t="n"/>
    </row>
    <row r="325">
      <c r="A325" s="45" t="n"/>
      <c r="B325" s="34" t="n"/>
      <c r="C325" s="34" t="n"/>
      <c r="D325" s="36" t="n"/>
      <c r="E325" s="34" t="n"/>
      <c r="F325" s="34" t="n"/>
    </row>
    <row r="326">
      <c r="A326" s="45" t="n"/>
      <c r="B326" s="34" t="n"/>
      <c r="C326" s="34" t="n"/>
      <c r="D326" s="36" t="n"/>
      <c r="E326" s="34" t="n"/>
      <c r="F326" s="34" t="n"/>
    </row>
    <row r="327">
      <c r="A327" s="45" t="n"/>
      <c r="B327" s="34" t="n"/>
      <c r="C327" s="34" t="n"/>
      <c r="D327" s="36" t="n"/>
      <c r="E327" s="34" t="n"/>
      <c r="F327" s="34" t="n"/>
    </row>
    <row r="328">
      <c r="A328" s="45" t="n"/>
      <c r="B328" s="34" t="n"/>
      <c r="C328" s="34" t="n"/>
      <c r="D328" s="36" t="n"/>
      <c r="E328" s="34" t="n"/>
      <c r="F328" s="34" t="n"/>
    </row>
    <row r="329">
      <c r="A329" s="45" t="n"/>
      <c r="B329" s="34" t="n"/>
      <c r="C329" s="34" t="n"/>
      <c r="D329" s="36" t="n"/>
      <c r="E329" s="34" t="n"/>
      <c r="F329" s="34" t="n"/>
    </row>
    <row r="330">
      <c r="A330" s="45" t="n"/>
      <c r="B330" s="34" t="n"/>
      <c r="C330" s="34" t="n"/>
      <c r="D330" s="36" t="n"/>
      <c r="E330" s="34" t="n"/>
      <c r="F330" s="34" t="n"/>
    </row>
    <row r="331">
      <c r="A331" s="45" t="n"/>
      <c r="B331" s="34" t="n"/>
      <c r="C331" s="34" t="n"/>
      <c r="D331" s="36" t="n"/>
      <c r="E331" s="34" t="n"/>
      <c r="F331" s="34" t="n"/>
    </row>
    <row r="332">
      <c r="A332" s="45" t="n"/>
      <c r="B332" s="34" t="n"/>
      <c r="C332" s="34" t="n"/>
      <c r="D332" s="36" t="n"/>
      <c r="E332" s="34" t="n"/>
      <c r="F332" s="34" t="n"/>
    </row>
    <row r="333">
      <c r="A333" s="45" t="n"/>
      <c r="B333" s="34" t="n"/>
      <c r="C333" s="34" t="n"/>
      <c r="D333" s="36" t="n"/>
      <c r="E333" s="34" t="n"/>
      <c r="F333" s="34" t="n"/>
    </row>
    <row r="334">
      <c r="A334" s="45" t="n"/>
      <c r="B334" s="34" t="n"/>
      <c r="C334" s="34" t="n"/>
      <c r="D334" s="36" t="n"/>
      <c r="E334" s="34" t="n"/>
      <c r="F334" s="34" t="n"/>
    </row>
    <row r="335">
      <c r="A335" s="45" t="n"/>
      <c r="B335" s="34" t="n"/>
      <c r="C335" s="34" t="n"/>
      <c r="D335" s="36" t="n"/>
      <c r="E335" s="34" t="n"/>
      <c r="F335" s="34" t="n"/>
    </row>
    <row r="336">
      <c r="A336" s="45" t="n"/>
      <c r="B336" s="34" t="n"/>
      <c r="C336" s="34" t="n"/>
      <c r="D336" s="36" t="n"/>
      <c r="E336" s="34" t="n"/>
      <c r="F336" s="34" t="n"/>
    </row>
    <row r="337">
      <c r="A337" s="45" t="n"/>
      <c r="B337" s="34" t="n"/>
      <c r="C337" s="34" t="n"/>
      <c r="D337" s="36" t="n"/>
      <c r="E337" s="34" t="n"/>
      <c r="F337" s="34" t="n"/>
    </row>
    <row r="338">
      <c r="A338" s="45" t="n"/>
      <c r="B338" s="34" t="n"/>
      <c r="C338" s="34" t="n"/>
      <c r="D338" s="36" t="n"/>
      <c r="E338" s="34" t="n"/>
      <c r="F338" s="34" t="n"/>
    </row>
    <row r="339">
      <c r="A339" s="45" t="n"/>
      <c r="B339" s="34" t="n"/>
      <c r="C339" s="34" t="n"/>
      <c r="D339" s="36" t="n"/>
      <c r="E339" s="34" t="n"/>
      <c r="F339" s="34" t="n"/>
    </row>
    <row r="340">
      <c r="A340" s="45" t="n"/>
      <c r="B340" s="34" t="n"/>
      <c r="C340" s="34" t="n"/>
      <c r="D340" s="36" t="n"/>
      <c r="E340" s="34" t="n"/>
      <c r="F340" s="34" t="n"/>
    </row>
    <row r="341">
      <c r="A341" s="45" t="n"/>
      <c r="B341" s="34" t="n"/>
      <c r="C341" s="34" t="n"/>
      <c r="D341" s="36" t="n"/>
      <c r="E341" s="34" t="n"/>
      <c r="F341" s="34" t="n"/>
    </row>
    <row r="342">
      <c r="A342" s="45" t="n"/>
      <c r="B342" s="34" t="n"/>
      <c r="C342" s="34" t="n"/>
      <c r="D342" s="36" t="n"/>
      <c r="E342" s="34" t="n"/>
      <c r="F342" s="34" t="n"/>
    </row>
    <row r="343">
      <c r="A343" s="45" t="n"/>
      <c r="B343" s="34" t="n"/>
      <c r="C343" s="34" t="n"/>
      <c r="D343" s="36" t="n"/>
      <c r="E343" s="34" t="n"/>
      <c r="F343" s="34" t="n"/>
    </row>
    <row r="344">
      <c r="A344" s="45" t="n"/>
      <c r="B344" s="34" t="n"/>
      <c r="C344" s="34" t="n"/>
      <c r="D344" s="36" t="n"/>
      <c r="E344" s="34" t="n"/>
      <c r="F344" s="34" t="n"/>
    </row>
    <row r="345">
      <c r="A345" s="45" t="n"/>
      <c r="B345" s="34" t="n"/>
      <c r="C345" s="34" t="n"/>
      <c r="D345" s="36" t="n"/>
      <c r="E345" s="34" t="n"/>
      <c r="F345" s="34" t="n"/>
    </row>
    <row r="346">
      <c r="A346" s="45" t="n"/>
      <c r="B346" s="34" t="n"/>
      <c r="C346" s="34" t="n"/>
      <c r="D346" s="36" t="n"/>
      <c r="E346" s="34" t="n"/>
      <c r="F346" s="34" t="n"/>
    </row>
    <row r="347">
      <c r="A347" s="45" t="n"/>
      <c r="B347" s="34" t="n"/>
      <c r="C347" s="34" t="n"/>
      <c r="D347" s="36" t="n"/>
      <c r="E347" s="34" t="n"/>
      <c r="F347" s="34" t="n"/>
    </row>
    <row r="348">
      <c r="A348" s="45" t="n"/>
      <c r="B348" s="34" t="n"/>
      <c r="C348" s="34" t="n"/>
      <c r="D348" s="36" t="n"/>
      <c r="E348" s="34" t="n"/>
      <c r="F348" s="34" t="n"/>
    </row>
    <row r="349">
      <c r="A349" s="45" t="n"/>
      <c r="B349" s="34" t="n"/>
      <c r="C349" s="34" t="n"/>
      <c r="D349" s="36" t="n"/>
      <c r="E349" s="34" t="n"/>
      <c r="F349" s="34" t="n"/>
    </row>
    <row r="350">
      <c r="A350" s="45" t="n"/>
      <c r="B350" s="34" t="n"/>
      <c r="C350" s="34" t="n"/>
      <c r="D350" s="36" t="n"/>
      <c r="E350" s="34" t="n"/>
      <c r="F350" s="34" t="n"/>
    </row>
    <row r="351">
      <c r="A351" s="45" t="n"/>
      <c r="B351" s="34" t="n"/>
      <c r="C351" s="34" t="n"/>
      <c r="D351" s="36" t="n"/>
      <c r="E351" s="34" t="n"/>
      <c r="F351" s="34" t="n"/>
    </row>
    <row r="352">
      <c r="A352" s="45" t="n"/>
      <c r="B352" s="34" t="n"/>
      <c r="C352" s="34" t="n"/>
      <c r="D352" s="36" t="n"/>
      <c r="E352" s="34" t="n"/>
      <c r="F352" s="34" t="n"/>
    </row>
    <row r="353">
      <c r="A353" s="45" t="n"/>
      <c r="B353" s="34" t="n"/>
      <c r="C353" s="34" t="n"/>
      <c r="D353" s="36" t="n"/>
      <c r="E353" s="34" t="n"/>
      <c r="F353" s="34" t="n"/>
    </row>
    <row r="354">
      <c r="A354" s="45" t="n"/>
      <c r="B354" s="34" t="n"/>
      <c r="C354" s="34" t="n"/>
      <c r="D354" s="36" t="n"/>
      <c r="E354" s="34" t="n"/>
      <c r="F354" s="34" t="n"/>
    </row>
    <row r="355">
      <c r="A355" s="45" t="n"/>
      <c r="B355" s="34" t="n"/>
      <c r="C355" s="34" t="n"/>
      <c r="D355" s="36" t="n"/>
      <c r="E355" s="34" t="n"/>
      <c r="F355" s="34" t="n"/>
    </row>
    <row r="356">
      <c r="A356" s="45" t="n"/>
      <c r="B356" s="34" t="n"/>
      <c r="C356" s="34" t="n"/>
      <c r="D356" s="36" t="n"/>
      <c r="E356" s="34" t="n"/>
      <c r="F356" s="34" t="n"/>
    </row>
    <row r="357">
      <c r="A357" s="45" t="n"/>
      <c r="B357" s="34" t="n"/>
      <c r="C357" s="34" t="n"/>
      <c r="D357" s="36" t="n"/>
      <c r="E357" s="34" t="n"/>
      <c r="F357" s="34" t="n"/>
    </row>
    <row r="358">
      <c r="A358" s="45" t="n"/>
      <c r="B358" s="34" t="n"/>
      <c r="C358" s="34" t="n"/>
      <c r="D358" s="36" t="n"/>
      <c r="E358" s="34" t="n"/>
      <c r="F358" s="34" t="n"/>
    </row>
    <row r="359">
      <c r="A359" s="45" t="n"/>
      <c r="B359" s="34" t="n"/>
      <c r="C359" s="34" t="n"/>
      <c r="D359" s="36" t="n"/>
      <c r="E359" s="34" t="n"/>
      <c r="F359" s="34" t="n"/>
    </row>
    <row r="360">
      <c r="A360" s="45" t="n"/>
      <c r="B360" s="34" t="n"/>
      <c r="C360" s="34" t="n"/>
      <c r="D360" s="36" t="n"/>
      <c r="E360" s="34" t="n"/>
      <c r="F360" s="34" t="n"/>
    </row>
    <row r="361">
      <c r="A361" s="45" t="n"/>
      <c r="B361" s="34" t="n"/>
      <c r="C361" s="34" t="n"/>
      <c r="D361" s="36" t="n"/>
      <c r="E361" s="34" t="n"/>
      <c r="F361" s="34" t="n"/>
    </row>
    <row r="362">
      <c r="A362" s="45" t="n"/>
      <c r="B362" s="34" t="n"/>
      <c r="C362" s="34" t="n"/>
      <c r="D362" s="36" t="n"/>
      <c r="E362" s="34" t="n"/>
      <c r="F362" s="34" t="n"/>
    </row>
    <row r="363">
      <c r="A363" s="45" t="n"/>
      <c r="B363" s="34" t="n"/>
      <c r="C363" s="34" t="n"/>
      <c r="D363" s="36" t="n"/>
      <c r="E363" s="34" t="n"/>
      <c r="F363" s="34" t="n"/>
    </row>
    <row r="364">
      <c r="A364" s="45" t="n"/>
      <c r="B364" s="34" t="n"/>
      <c r="C364" s="34" t="n"/>
      <c r="D364" s="36" t="n"/>
      <c r="E364" s="34" t="n"/>
      <c r="F364" s="34" t="n"/>
    </row>
    <row r="365">
      <c r="A365" s="45" t="n"/>
      <c r="B365" s="34" t="n"/>
      <c r="C365" s="34" t="n"/>
      <c r="D365" s="36" t="n"/>
      <c r="E365" s="34" t="n"/>
      <c r="F365" s="34" t="n"/>
    </row>
    <row r="366">
      <c r="A366" s="45" t="n"/>
      <c r="B366" s="34" t="n"/>
      <c r="C366" s="34" t="n"/>
      <c r="D366" s="36" t="n"/>
      <c r="E366" s="34" t="n"/>
      <c r="F366" s="34" t="n"/>
    </row>
    <row r="367">
      <c r="A367" s="45" t="n"/>
      <c r="B367" s="34" t="n"/>
      <c r="C367" s="34" t="n"/>
      <c r="D367" s="36" t="n"/>
      <c r="E367" s="34" t="n"/>
      <c r="F367" s="34" t="n"/>
    </row>
    <row r="368">
      <c r="A368" s="45" t="n"/>
      <c r="B368" s="34" t="n"/>
      <c r="C368" s="34" t="n"/>
      <c r="D368" s="36" t="n"/>
      <c r="E368" s="34" t="n"/>
      <c r="F368" s="34" t="n"/>
    </row>
    <row r="369">
      <c r="A369" s="45" t="n"/>
      <c r="B369" s="34" t="n"/>
      <c r="C369" s="34" t="n"/>
      <c r="D369" s="36" t="n"/>
      <c r="E369" s="34" t="n"/>
      <c r="F369" s="34" t="n"/>
    </row>
    <row r="370">
      <c r="A370" s="45" t="n"/>
      <c r="B370" s="34" t="n"/>
      <c r="C370" s="34" t="n"/>
      <c r="D370" s="36" t="n"/>
      <c r="E370" s="34" t="n"/>
      <c r="F370" s="34" t="n"/>
    </row>
    <row r="371">
      <c r="A371" s="45" t="n"/>
      <c r="B371" s="34" t="n"/>
      <c r="C371" s="34" t="n"/>
      <c r="D371" s="36" t="n"/>
      <c r="E371" s="34" t="n"/>
      <c r="F371" s="34" t="n"/>
    </row>
    <row r="372">
      <c r="A372" s="45" t="n"/>
      <c r="B372" s="34" t="n"/>
      <c r="C372" s="34" t="n"/>
      <c r="D372" s="36" t="n"/>
      <c r="E372" s="34" t="n"/>
      <c r="F372" s="34" t="n"/>
    </row>
    <row r="373">
      <c r="A373" s="45" t="n"/>
      <c r="B373" s="34" t="n"/>
      <c r="C373" s="34" t="n"/>
      <c r="D373" s="36" t="n"/>
      <c r="E373" s="34" t="n"/>
      <c r="F373" s="34" t="n"/>
    </row>
    <row r="374">
      <c r="A374" s="45" t="n"/>
      <c r="B374" s="34" t="n"/>
      <c r="C374" s="34" t="n"/>
      <c r="D374" s="36" t="n"/>
      <c r="E374" s="34" t="n"/>
      <c r="F374" s="34" t="n"/>
    </row>
    <row r="375">
      <c r="A375" s="45" t="n"/>
      <c r="B375" s="34" t="n"/>
      <c r="C375" s="34" t="n"/>
      <c r="D375" s="36" t="n"/>
      <c r="E375" s="34" t="n"/>
      <c r="F375" s="34" t="n"/>
    </row>
    <row r="376">
      <c r="A376" s="45" t="n"/>
      <c r="B376" s="34" t="n"/>
      <c r="C376" s="34" t="n"/>
      <c r="D376" s="36" t="n"/>
      <c r="E376" s="34" t="n"/>
      <c r="F376" s="34" t="n"/>
    </row>
    <row r="377">
      <c r="A377" s="45" t="n"/>
      <c r="B377" s="34" t="n"/>
      <c r="C377" s="34" t="n"/>
      <c r="D377" s="36" t="n"/>
      <c r="E377" s="34" t="n"/>
      <c r="F377" s="34" t="n"/>
    </row>
    <row r="378">
      <c r="A378" s="45" t="n"/>
      <c r="B378" s="34" t="n"/>
      <c r="C378" s="34" t="n"/>
      <c r="D378" s="36" t="n"/>
      <c r="E378" s="34" t="n"/>
      <c r="F378" s="34" t="n"/>
    </row>
    <row r="379">
      <c r="A379" s="45" t="n"/>
      <c r="B379" s="34" t="n"/>
      <c r="C379" s="34" t="n"/>
      <c r="D379" s="36" t="n"/>
      <c r="E379" s="34" t="n"/>
      <c r="F379" s="34" t="n"/>
    </row>
    <row r="380">
      <c r="A380" s="45" t="n"/>
      <c r="B380" s="34" t="n"/>
      <c r="C380" s="34" t="n"/>
      <c r="D380" s="36" t="n"/>
      <c r="E380" s="34" t="n"/>
      <c r="F380" s="34" t="n"/>
    </row>
    <row r="381">
      <c r="A381" s="45" t="n"/>
      <c r="B381" s="34" t="n"/>
      <c r="C381" s="34" t="n"/>
      <c r="D381" s="36" t="n"/>
      <c r="E381" s="34" t="n"/>
      <c r="F381" s="34" t="n"/>
    </row>
    <row r="382">
      <c r="A382" s="45" t="n"/>
      <c r="B382" s="34" t="n"/>
      <c r="C382" s="34" t="n"/>
      <c r="D382" s="36" t="n"/>
      <c r="E382" s="34" t="n"/>
      <c r="F382" s="34" t="n"/>
    </row>
    <row r="383">
      <c r="A383" s="45" t="n"/>
      <c r="B383" s="34" t="n"/>
      <c r="C383" s="34" t="n"/>
      <c r="D383" s="36" t="n"/>
      <c r="E383" s="34" t="n"/>
      <c r="F383" s="34" t="n"/>
    </row>
    <row r="384">
      <c r="A384" s="45" t="n"/>
      <c r="B384" s="34" t="n"/>
      <c r="C384" s="34" t="n"/>
      <c r="D384" s="36" t="n"/>
      <c r="E384" s="34" t="n"/>
      <c r="F384" s="34" t="n"/>
    </row>
    <row r="385">
      <c r="A385" s="45" t="n"/>
      <c r="B385" s="34" t="n"/>
      <c r="C385" s="34" t="n"/>
      <c r="D385" s="36" t="n"/>
      <c r="E385" s="34" t="n"/>
      <c r="F385" s="34" t="n"/>
    </row>
    <row r="386">
      <c r="A386" s="45" t="n"/>
      <c r="B386" s="34" t="n"/>
      <c r="C386" s="34" t="n"/>
      <c r="D386" s="36" t="n"/>
      <c r="E386" s="34" t="n"/>
      <c r="F386" s="34" t="n"/>
    </row>
    <row r="387">
      <c r="A387" s="45" t="n"/>
      <c r="B387" s="34" t="n"/>
      <c r="C387" s="34" t="n"/>
      <c r="D387" s="36" t="n"/>
      <c r="E387" s="34" t="n"/>
      <c r="F387" s="34" t="n"/>
    </row>
    <row r="388">
      <c r="A388" s="45" t="n"/>
      <c r="B388" s="34" t="n"/>
      <c r="C388" s="34" t="n"/>
      <c r="D388" s="36" t="n"/>
      <c r="E388" s="34" t="n"/>
      <c r="F388" s="34" t="n"/>
    </row>
    <row r="389">
      <c r="A389" s="45" t="n"/>
      <c r="B389" s="34" t="n"/>
      <c r="C389" s="34" t="n"/>
      <c r="D389" s="36" t="n"/>
      <c r="E389" s="34" t="n"/>
      <c r="F389" s="34" t="n"/>
    </row>
    <row r="390">
      <c r="A390" s="45" t="n"/>
      <c r="B390" s="34" t="n"/>
      <c r="C390" s="34" t="n"/>
      <c r="D390" s="36" t="n"/>
      <c r="E390" s="34" t="n"/>
      <c r="F390" s="34" t="n"/>
    </row>
    <row r="391">
      <c r="A391" s="45" t="n"/>
      <c r="B391" s="34" t="n"/>
      <c r="C391" s="34" t="n"/>
      <c r="D391" s="36" t="n"/>
      <c r="E391" s="34" t="n"/>
      <c r="F391" s="34" t="n"/>
    </row>
    <row r="392">
      <c r="A392" s="45" t="n"/>
      <c r="B392" s="34" t="n"/>
      <c r="C392" s="34" t="n"/>
      <c r="D392" s="36" t="n"/>
      <c r="E392" s="34" t="n"/>
      <c r="F392" s="34" t="n"/>
    </row>
    <row r="393">
      <c r="A393" s="45" t="n"/>
      <c r="B393" s="34" t="n"/>
      <c r="C393" s="34" t="n"/>
      <c r="D393" s="36" t="n"/>
      <c r="E393" s="34" t="n"/>
      <c r="F393" s="34" t="n"/>
    </row>
    <row r="394">
      <c r="A394" s="45" t="n"/>
      <c r="B394" s="34" t="n"/>
      <c r="C394" s="34" t="n"/>
      <c r="D394" s="36" t="n"/>
      <c r="E394" s="34" t="n"/>
      <c r="F394" s="34" t="n"/>
    </row>
    <row r="395">
      <c r="A395" s="45" t="n"/>
      <c r="B395" s="34" t="n"/>
      <c r="C395" s="34" t="n"/>
      <c r="D395" s="36" t="n"/>
      <c r="E395" s="34" t="n"/>
      <c r="F395" s="34" t="n"/>
    </row>
    <row r="396">
      <c r="A396" s="45" t="n"/>
      <c r="B396" s="34" t="n"/>
      <c r="C396" s="34" t="n"/>
      <c r="D396" s="36" t="n"/>
      <c r="E396" s="34" t="n"/>
      <c r="F396" s="34" t="n"/>
    </row>
    <row r="397">
      <c r="A397" s="45" t="n"/>
      <c r="B397" s="34" t="n"/>
      <c r="C397" s="34" t="n"/>
      <c r="D397" s="36" t="n"/>
      <c r="E397" s="34" t="n"/>
      <c r="F397" s="34" t="n"/>
    </row>
    <row r="398">
      <c r="A398" s="45" t="n"/>
      <c r="B398" s="34" t="n"/>
      <c r="C398" s="34" t="n"/>
      <c r="D398" s="36" t="n"/>
      <c r="E398" s="34" t="n"/>
      <c r="F398" s="34" t="n"/>
    </row>
    <row r="399">
      <c r="A399" s="45" t="n"/>
      <c r="B399" s="34" t="n"/>
      <c r="C399" s="34" t="n"/>
      <c r="D399" s="36" t="n"/>
      <c r="E399" s="34" t="n"/>
      <c r="F399" s="34" t="n"/>
    </row>
    <row r="400">
      <c r="A400" s="45" t="n"/>
      <c r="B400" s="34" t="n"/>
      <c r="C400" s="34" t="n"/>
      <c r="D400" s="36" t="n"/>
      <c r="E400" s="34" t="n"/>
      <c r="F400" s="34" t="n"/>
    </row>
    <row r="401">
      <c r="A401" s="45" t="n"/>
      <c r="B401" s="34" t="n"/>
      <c r="C401" s="34" t="n"/>
      <c r="D401" s="36" t="n"/>
      <c r="E401" s="34" t="n"/>
      <c r="F401" s="34" t="n"/>
    </row>
    <row r="402">
      <c r="A402" s="45" t="n"/>
      <c r="B402" s="34" t="n"/>
      <c r="C402" s="34" t="n"/>
      <c r="D402" s="36" t="n"/>
      <c r="E402" s="34" t="n"/>
      <c r="F402" s="34" t="n"/>
    </row>
    <row r="403">
      <c r="A403" s="45" t="n"/>
      <c r="B403" s="34" t="n"/>
      <c r="C403" s="34" t="n"/>
      <c r="D403" s="36" t="n"/>
      <c r="E403" s="34" t="n"/>
      <c r="F403" s="34" t="n"/>
    </row>
    <row r="404">
      <c r="A404" s="45" t="n"/>
      <c r="B404" s="34" t="n"/>
      <c r="C404" s="34" t="n"/>
      <c r="D404" s="36" t="n"/>
      <c r="E404" s="34" t="n"/>
      <c r="F404" s="34" t="n"/>
    </row>
    <row r="405">
      <c r="A405" s="45" t="n"/>
      <c r="B405" s="34" t="n"/>
      <c r="C405" s="34" t="n"/>
      <c r="D405" s="36" t="n"/>
      <c r="E405" s="34" t="n"/>
      <c r="F405" s="34" t="n"/>
    </row>
    <row r="406">
      <c r="A406" s="45" t="n"/>
      <c r="B406" s="34" t="n"/>
      <c r="C406" s="34" t="n"/>
      <c r="D406" s="36" t="n"/>
      <c r="E406" s="34" t="n"/>
      <c r="F406" s="34" t="n"/>
    </row>
    <row r="407">
      <c r="A407" s="45" t="n"/>
      <c r="B407" s="34" t="n"/>
      <c r="C407" s="34" t="n"/>
      <c r="D407" s="36" t="n"/>
      <c r="E407" s="34" t="n"/>
      <c r="F407" s="34" t="n"/>
    </row>
    <row r="408">
      <c r="A408" s="45" t="n"/>
      <c r="B408" s="34" t="n"/>
      <c r="C408" s="34" t="n"/>
      <c r="D408" s="36" t="n"/>
      <c r="E408" s="34" t="n"/>
      <c r="F408" s="34" t="n"/>
    </row>
    <row r="409">
      <c r="A409" s="45" t="n"/>
      <c r="B409" s="34" t="n"/>
      <c r="C409" s="34" t="n"/>
      <c r="D409" s="36" t="n"/>
      <c r="E409" s="34" t="n"/>
      <c r="F409" s="34" t="n"/>
    </row>
    <row r="410">
      <c r="A410" s="45" t="n"/>
      <c r="B410" s="34" t="n"/>
      <c r="C410" s="34" t="n"/>
      <c r="D410" s="36" t="n"/>
      <c r="E410" s="34" t="n"/>
      <c r="F410" s="34" t="n"/>
    </row>
    <row r="411">
      <c r="A411" s="45" t="n"/>
      <c r="B411" s="34" t="n"/>
      <c r="C411" s="34" t="n"/>
      <c r="D411" s="36" t="n"/>
      <c r="E411" s="34" t="n"/>
      <c r="F411" s="34" t="n"/>
    </row>
    <row r="412">
      <c r="A412" s="45" t="n"/>
      <c r="B412" s="34" t="n"/>
      <c r="C412" s="34" t="n"/>
      <c r="D412" s="36" t="n"/>
      <c r="E412" s="34" t="n"/>
      <c r="F412" s="34" t="n"/>
    </row>
    <row r="413">
      <c r="A413" s="45" t="n"/>
      <c r="B413" s="34" t="n"/>
      <c r="C413" s="34" t="n"/>
      <c r="D413" s="36" t="n"/>
      <c r="E413" s="34" t="n"/>
      <c r="F413" s="34" t="n"/>
    </row>
    <row r="414">
      <c r="A414" s="45" t="n"/>
      <c r="B414" s="34" t="n"/>
      <c r="C414" s="34" t="n"/>
      <c r="D414" s="36" t="n"/>
      <c r="E414" s="34" t="n"/>
      <c r="F414" s="34" t="n"/>
    </row>
    <row r="415">
      <c r="A415" s="45" t="n"/>
      <c r="B415" s="34" t="n"/>
      <c r="C415" s="34" t="n"/>
      <c r="D415" s="36" t="n"/>
      <c r="E415" s="34" t="n"/>
      <c r="F415" s="34" t="n"/>
    </row>
    <row r="416">
      <c r="A416" s="45" t="n"/>
      <c r="B416" s="34" t="n"/>
      <c r="C416" s="34" t="n"/>
      <c r="D416" s="36" t="n"/>
      <c r="E416" s="34" t="n"/>
      <c r="F416" s="34" t="n"/>
    </row>
    <row r="417">
      <c r="A417" s="45" t="n"/>
      <c r="B417" s="34" t="n"/>
      <c r="C417" s="34" t="n"/>
      <c r="D417" s="36" t="n"/>
      <c r="E417" s="34" t="n"/>
      <c r="F417" s="34" t="n"/>
    </row>
    <row r="418">
      <c r="A418" s="45" t="n"/>
      <c r="B418" s="34" t="n"/>
      <c r="C418" s="34" t="n"/>
      <c r="D418" s="36" t="n"/>
      <c r="E418" s="34" t="n"/>
      <c r="F418" s="34" t="n"/>
    </row>
    <row r="419">
      <c r="A419" s="45" t="n"/>
      <c r="B419" s="34" t="n"/>
      <c r="C419" s="34" t="n"/>
      <c r="D419" s="36" t="n"/>
      <c r="E419" s="34" t="n"/>
      <c r="F419" s="34" t="n"/>
    </row>
    <row r="420">
      <c r="A420" s="45" t="n"/>
      <c r="B420" s="34" t="n"/>
      <c r="C420" s="34" t="n"/>
      <c r="D420" s="36" t="n"/>
      <c r="E420" s="34" t="n"/>
      <c r="F420" s="34" t="n"/>
    </row>
    <row r="421">
      <c r="A421" s="45" t="n"/>
      <c r="B421" s="34" t="n"/>
      <c r="C421" s="34" t="n"/>
      <c r="D421" s="36" t="n"/>
      <c r="E421" s="34" t="n"/>
      <c r="F421" s="34" t="n"/>
    </row>
    <row r="422">
      <c r="A422" s="45" t="n"/>
      <c r="B422" s="34" t="n"/>
      <c r="C422" s="34" t="n"/>
      <c r="D422" s="36" t="n"/>
      <c r="E422" s="34" t="n"/>
      <c r="F422" s="34" t="n"/>
    </row>
    <row r="423">
      <c r="A423" s="45" t="n"/>
      <c r="B423" s="34" t="n"/>
      <c r="C423" s="34" t="n"/>
      <c r="D423" s="36" t="n"/>
      <c r="E423" s="34" t="n"/>
      <c r="F423" s="34" t="n"/>
    </row>
    <row r="424">
      <c r="A424" s="45" t="n"/>
      <c r="B424" s="34" t="n"/>
      <c r="C424" s="34" t="n"/>
      <c r="D424" s="36" t="n"/>
      <c r="E424" s="34" t="n"/>
      <c r="F424" s="34" t="n"/>
    </row>
    <row r="425">
      <c r="A425" s="45" t="n"/>
      <c r="B425" s="34" t="n"/>
      <c r="C425" s="34" t="n"/>
      <c r="D425" s="36" t="n"/>
      <c r="E425" s="34" t="n"/>
      <c r="F425" s="34" t="n"/>
    </row>
    <row r="426">
      <c r="A426" s="45" t="n"/>
      <c r="B426" s="34" t="n"/>
      <c r="C426" s="34" t="n"/>
      <c r="D426" s="36" t="n"/>
      <c r="E426" s="34" t="n"/>
      <c r="F426" s="34" t="n"/>
    </row>
    <row r="427">
      <c r="A427" s="45" t="n"/>
      <c r="B427" s="34" t="n"/>
      <c r="C427" s="34" t="n"/>
      <c r="D427" s="36" t="n"/>
      <c r="E427" s="34" t="n"/>
      <c r="F427" s="34" t="n"/>
    </row>
    <row r="428">
      <c r="A428" s="45" t="n"/>
      <c r="B428" s="34" t="n"/>
      <c r="C428" s="34" t="n"/>
      <c r="D428" s="36" t="n"/>
      <c r="E428" s="34" t="n"/>
      <c r="F428" s="34" t="n"/>
    </row>
    <row r="429">
      <c r="A429" s="45" t="n"/>
      <c r="B429" s="34" t="n"/>
      <c r="C429" s="34" t="n"/>
      <c r="D429" s="36" t="n"/>
      <c r="E429" s="34" t="n"/>
      <c r="F429" s="34" t="n"/>
    </row>
    <row r="430">
      <c r="A430" s="45" t="n"/>
      <c r="B430" s="34" t="n"/>
      <c r="C430" s="34" t="n"/>
      <c r="D430" s="36" t="n"/>
      <c r="E430" s="34" t="n"/>
      <c r="F430" s="34" t="n"/>
    </row>
    <row r="431">
      <c r="A431" s="45" t="n"/>
      <c r="B431" s="34" t="n"/>
      <c r="C431" s="34" t="n"/>
      <c r="D431" s="36" t="n"/>
      <c r="E431" s="34" t="n"/>
      <c r="F431" s="34" t="n"/>
    </row>
    <row r="432">
      <c r="A432" s="45" t="n"/>
      <c r="B432" s="34" t="n"/>
      <c r="C432" s="34" t="n"/>
      <c r="D432" s="36" t="n"/>
      <c r="E432" s="34" t="n"/>
      <c r="F432" s="34" t="n"/>
    </row>
    <row r="433">
      <c r="A433" s="45" t="n"/>
      <c r="B433" s="34" t="n"/>
      <c r="C433" s="34" t="n"/>
      <c r="D433" s="36" t="n"/>
      <c r="E433" s="34" t="n"/>
      <c r="F433" s="34" t="n"/>
    </row>
    <row r="434">
      <c r="A434" s="45" t="n"/>
      <c r="B434" s="34" t="n"/>
      <c r="C434" s="34" t="n"/>
      <c r="D434" s="36" t="n"/>
      <c r="E434" s="34" t="n"/>
      <c r="F434" s="34" t="n"/>
    </row>
    <row r="435">
      <c r="A435" s="45" t="n"/>
      <c r="B435" s="34" t="n"/>
      <c r="C435" s="34" t="n"/>
      <c r="D435" s="36" t="n"/>
      <c r="E435" s="34" t="n"/>
      <c r="F435" s="34" t="n"/>
    </row>
    <row r="436">
      <c r="A436" s="45" t="n"/>
      <c r="B436" s="34" t="n"/>
      <c r="C436" s="34" t="n"/>
      <c r="D436" s="36" t="n"/>
      <c r="E436" s="34" t="n"/>
      <c r="F436" s="34" t="n"/>
    </row>
    <row r="437">
      <c r="A437" s="45" t="n"/>
      <c r="B437" s="34" t="n"/>
      <c r="C437" s="34" t="n"/>
      <c r="D437" s="36" t="n"/>
      <c r="E437" s="34" t="n"/>
      <c r="F437" s="34" t="n"/>
    </row>
    <row r="438">
      <c r="A438" s="45" t="n"/>
      <c r="B438" s="34" t="n"/>
      <c r="C438" s="34" t="n"/>
      <c r="D438" s="36" t="n"/>
      <c r="E438" s="34" t="n"/>
      <c r="F438" s="34" t="n"/>
    </row>
    <row r="439">
      <c r="A439" s="45" t="n"/>
      <c r="B439" s="34" t="n"/>
      <c r="C439" s="34" t="n"/>
      <c r="D439" s="36" t="n"/>
      <c r="E439" s="34" t="n"/>
      <c r="F439" s="34" t="n"/>
    </row>
    <row r="440">
      <c r="A440" s="45" t="n"/>
      <c r="B440" s="34" t="n"/>
      <c r="C440" s="34" t="n"/>
      <c r="D440" s="36" t="n"/>
      <c r="E440" s="34" t="n"/>
      <c r="F440" s="34" t="n"/>
    </row>
    <row r="441">
      <c r="A441" s="45" t="n"/>
      <c r="B441" s="34" t="n"/>
      <c r="C441" s="34" t="n"/>
      <c r="D441" s="36" t="n"/>
      <c r="E441" s="34" t="n"/>
      <c r="F441" s="34" t="n"/>
    </row>
    <row r="442">
      <c r="A442" s="45" t="n"/>
      <c r="B442" s="34" t="n"/>
      <c r="C442" s="34" t="n"/>
      <c r="D442" s="36" t="n"/>
      <c r="E442" s="34" t="n"/>
      <c r="F442" s="34" t="n"/>
    </row>
    <row r="443">
      <c r="A443" s="45" t="n"/>
      <c r="B443" s="34" t="n"/>
      <c r="C443" s="34" t="n"/>
      <c r="D443" s="36" t="n"/>
      <c r="E443" s="34" t="n"/>
      <c r="F443" s="34" t="n"/>
    </row>
    <row r="444">
      <c r="A444" s="45" t="n"/>
      <c r="B444" s="34" t="n"/>
      <c r="C444" s="34" t="n"/>
      <c r="D444" s="36" t="n"/>
      <c r="E444" s="34" t="n"/>
      <c r="F444" s="34" t="n"/>
    </row>
    <row r="445">
      <c r="A445" s="45" t="n"/>
      <c r="B445" s="34" t="n"/>
      <c r="C445" s="34" t="n"/>
      <c r="D445" s="36" t="n"/>
      <c r="E445" s="34" t="n"/>
      <c r="F445" s="34" t="n"/>
    </row>
    <row r="446">
      <c r="A446" s="45" t="n"/>
      <c r="B446" s="34" t="n"/>
      <c r="C446" s="34" t="n"/>
      <c r="D446" s="36" t="n"/>
      <c r="E446" s="34" t="n"/>
      <c r="F446" s="34" t="n"/>
    </row>
    <row r="447">
      <c r="A447" s="45" t="n"/>
      <c r="B447" s="34" t="n"/>
      <c r="C447" s="34" t="n"/>
      <c r="D447" s="36" t="n"/>
      <c r="E447" s="34" t="n"/>
      <c r="F447" s="34" t="n"/>
    </row>
    <row r="448">
      <c r="A448" s="45" t="n"/>
      <c r="B448" s="34" t="n"/>
      <c r="C448" s="34" t="n"/>
      <c r="D448" s="36" t="n"/>
      <c r="E448" s="34" t="n"/>
      <c r="F448" s="34" t="n"/>
    </row>
    <row r="449">
      <c r="A449" s="45" t="n"/>
      <c r="B449" s="34" t="n"/>
      <c r="C449" s="34" t="n"/>
      <c r="D449" s="36" t="n"/>
      <c r="E449" s="34" t="n"/>
      <c r="F449" s="34" t="n"/>
    </row>
    <row r="450">
      <c r="A450" s="45" t="n"/>
      <c r="B450" s="34" t="n"/>
      <c r="C450" s="34" t="n"/>
      <c r="D450" s="36" t="n"/>
      <c r="E450" s="34" t="n"/>
      <c r="F450" s="34" t="n"/>
    </row>
    <row r="451">
      <c r="A451" s="45" t="n"/>
      <c r="B451" s="34" t="n"/>
      <c r="C451" s="34" t="n"/>
      <c r="D451" s="36" t="n"/>
      <c r="E451" s="34" t="n"/>
      <c r="F451" s="34" t="n"/>
    </row>
    <row r="452">
      <c r="A452" s="45" t="n"/>
      <c r="B452" s="34" t="n"/>
      <c r="C452" s="34" t="n"/>
      <c r="D452" s="36" t="n"/>
      <c r="E452" s="34" t="n"/>
      <c r="F452" s="34" t="n"/>
    </row>
    <row r="453">
      <c r="A453" s="45" t="n"/>
      <c r="B453" s="34" t="n"/>
      <c r="C453" s="34" t="n"/>
      <c r="D453" s="36" t="n"/>
      <c r="E453" s="34" t="n"/>
      <c r="F453" s="34" t="n"/>
    </row>
    <row r="454">
      <c r="A454" s="45" t="n"/>
      <c r="B454" s="34" t="n"/>
      <c r="C454" s="34" t="n"/>
      <c r="D454" s="36" t="n"/>
      <c r="E454" s="34" t="n"/>
      <c r="F454" s="34" t="n"/>
    </row>
    <row r="455">
      <c r="A455" s="45" t="n"/>
      <c r="B455" s="34" t="n"/>
      <c r="C455" s="34" t="n"/>
      <c r="D455" s="36" t="n"/>
      <c r="E455" s="34" t="n"/>
      <c r="F455" s="34" t="n"/>
    </row>
    <row r="456">
      <c r="A456" s="45" t="n"/>
      <c r="B456" s="34" t="n"/>
      <c r="C456" s="34" t="n"/>
      <c r="D456" s="36" t="n"/>
      <c r="E456" s="34" t="n"/>
      <c r="F456" s="34" t="n"/>
    </row>
    <row r="457">
      <c r="A457" s="45" t="n"/>
      <c r="B457" s="34" t="n"/>
      <c r="C457" s="34" t="n"/>
      <c r="D457" s="36" t="n"/>
      <c r="E457" s="34" t="n"/>
      <c r="F457" s="34" t="n"/>
    </row>
    <row r="458">
      <c r="A458" s="45" t="n"/>
      <c r="B458" s="34" t="n"/>
      <c r="C458" s="34" t="n"/>
      <c r="D458" s="36" t="n"/>
      <c r="E458" s="34" t="n"/>
      <c r="F458" s="34" t="n"/>
    </row>
    <row r="459">
      <c r="A459" s="45" t="n"/>
      <c r="B459" s="34" t="n"/>
      <c r="C459" s="34" t="n"/>
      <c r="D459" s="36" t="n"/>
      <c r="E459" s="34" t="n"/>
      <c r="F459" s="34" t="n"/>
    </row>
    <row r="460">
      <c r="A460" s="45" t="n"/>
      <c r="B460" s="34" t="n"/>
      <c r="C460" s="34" t="n"/>
      <c r="D460" s="36" t="n"/>
      <c r="E460" s="34" t="n"/>
      <c r="F460" s="34" t="n"/>
    </row>
    <row r="461">
      <c r="A461" s="45" t="n"/>
      <c r="B461" s="34" t="n"/>
      <c r="C461" s="34" t="n"/>
      <c r="D461" s="36" t="n"/>
      <c r="E461" s="34" t="n"/>
      <c r="F461" s="34" t="n"/>
    </row>
    <row r="462">
      <c r="A462" s="45" t="n"/>
      <c r="B462" s="34" t="n"/>
      <c r="C462" s="34" t="n"/>
      <c r="D462" s="36" t="n"/>
      <c r="E462" s="34" t="n"/>
      <c r="F462" s="34" t="n"/>
    </row>
    <row r="463">
      <c r="A463" s="45" t="n"/>
      <c r="B463" s="34" t="n"/>
      <c r="C463" s="34" t="n"/>
      <c r="D463" s="36" t="n"/>
      <c r="E463" s="34" t="n"/>
      <c r="F463" s="34" t="n"/>
    </row>
    <row r="464">
      <c r="A464" s="45" t="n"/>
      <c r="B464" s="34" t="n"/>
      <c r="C464" s="34" t="n"/>
      <c r="D464" s="36" t="n"/>
      <c r="E464" s="34" t="n"/>
      <c r="F464" s="34" t="n"/>
    </row>
    <row r="465">
      <c r="A465" s="45" t="n"/>
      <c r="B465" s="34" t="n"/>
      <c r="C465" s="34" t="n"/>
      <c r="D465" s="36" t="n"/>
      <c r="E465" s="34" t="n"/>
      <c r="F465" s="34" t="n"/>
    </row>
    <row r="466">
      <c r="A466" s="45" t="n"/>
      <c r="B466" s="34" t="n"/>
      <c r="C466" s="34" t="n"/>
      <c r="D466" s="36" t="n"/>
      <c r="E466" s="34" t="n"/>
      <c r="F466" s="34" t="n"/>
    </row>
    <row r="467">
      <c r="A467" s="45" t="n"/>
      <c r="B467" s="34" t="n"/>
      <c r="C467" s="34" t="n"/>
      <c r="D467" s="36" t="n"/>
      <c r="E467" s="34" t="n"/>
      <c r="F467" s="34" t="n"/>
    </row>
    <row r="468">
      <c r="A468" s="45" t="n"/>
      <c r="B468" s="34" t="n"/>
      <c r="C468" s="34" t="n"/>
      <c r="D468" s="36" t="n"/>
      <c r="E468" s="34" t="n"/>
      <c r="F468" s="34" t="n"/>
    </row>
    <row r="469">
      <c r="A469" s="45" t="n"/>
      <c r="B469" s="34" t="n"/>
      <c r="C469" s="34" t="n"/>
      <c r="D469" s="36" t="n"/>
      <c r="E469" s="34" t="n"/>
      <c r="F469" s="34" t="n"/>
    </row>
    <row r="470">
      <c r="A470" s="45" t="n"/>
      <c r="B470" s="34" t="n"/>
      <c r="C470" s="34" t="n"/>
      <c r="D470" s="36" t="n"/>
      <c r="E470" s="34" t="n"/>
      <c r="F470" s="34" t="n"/>
    </row>
    <row r="471">
      <c r="A471" s="45" t="n"/>
      <c r="B471" s="34" t="n"/>
      <c r="C471" s="34" t="n"/>
      <c r="D471" s="36" t="n"/>
      <c r="E471" s="34" t="n"/>
      <c r="F471" s="34" t="n"/>
    </row>
    <row r="472">
      <c r="A472" s="45" t="n"/>
      <c r="B472" s="34" t="n"/>
      <c r="C472" s="34" t="n"/>
      <c r="D472" s="36" t="n"/>
      <c r="E472" s="34" t="n"/>
      <c r="F472" s="34" t="n"/>
    </row>
    <row r="473">
      <c r="A473" s="45" t="n"/>
      <c r="B473" s="34" t="n"/>
      <c r="C473" s="34" t="n"/>
      <c r="D473" s="36" t="n"/>
      <c r="E473" s="34" t="n"/>
      <c r="F473" s="34" t="n"/>
    </row>
    <row r="474">
      <c r="A474" s="45" t="n"/>
      <c r="B474" s="34" t="n"/>
      <c r="C474" s="34" t="n"/>
      <c r="D474" s="36" t="n"/>
      <c r="E474" s="34" t="n"/>
      <c r="F474" s="34" t="n"/>
    </row>
    <row r="475">
      <c r="A475" s="45" t="n"/>
      <c r="B475" s="34" t="n"/>
      <c r="C475" s="34" t="n"/>
      <c r="D475" s="36" t="n"/>
      <c r="E475" s="34" t="n"/>
      <c r="F475" s="34" t="n"/>
    </row>
    <row r="476">
      <c r="A476" s="45" t="n"/>
      <c r="B476" s="34" t="n"/>
      <c r="C476" s="34" t="n"/>
      <c r="D476" s="36" t="n"/>
      <c r="E476" s="34" t="n"/>
      <c r="F476" s="34" t="n"/>
    </row>
    <row r="477">
      <c r="A477" s="45" t="n"/>
      <c r="B477" s="34" t="n"/>
      <c r="C477" s="34" t="n"/>
      <c r="D477" s="36" t="n"/>
      <c r="E477" s="34" t="n"/>
      <c r="F477" s="34" t="n"/>
    </row>
    <row r="478">
      <c r="A478" s="45" t="n"/>
      <c r="B478" s="34" t="n"/>
      <c r="C478" s="34" t="n"/>
      <c r="D478" s="36" t="n"/>
      <c r="E478" s="34" t="n"/>
      <c r="F478" s="34" t="n"/>
    </row>
    <row r="479">
      <c r="A479" s="45" t="n"/>
      <c r="B479" s="34" t="n"/>
      <c r="C479" s="34" t="n"/>
      <c r="D479" s="36" t="n"/>
      <c r="E479" s="34" t="n"/>
      <c r="F479" s="34" t="n"/>
    </row>
    <row r="480">
      <c r="A480" s="45" t="n"/>
      <c r="B480" s="34" t="n"/>
      <c r="C480" s="34" t="n"/>
      <c r="D480" s="36" t="n"/>
      <c r="E480" s="34" t="n"/>
      <c r="F480" s="34" t="n"/>
    </row>
    <row r="481">
      <c r="A481" s="45" t="n"/>
      <c r="B481" s="34" t="n"/>
      <c r="C481" s="34" t="n"/>
      <c r="D481" s="36" t="n"/>
      <c r="E481" s="34" t="n"/>
      <c r="F481" s="34" t="n"/>
    </row>
    <row r="482">
      <c r="A482" s="45" t="n"/>
      <c r="B482" s="34" t="n"/>
      <c r="C482" s="34" t="n"/>
      <c r="D482" s="36" t="n"/>
      <c r="E482" s="34" t="n"/>
      <c r="F482" s="34" t="n"/>
    </row>
    <row r="483">
      <c r="A483" s="45" t="n"/>
      <c r="B483" s="34" t="n"/>
      <c r="C483" s="34" t="n"/>
      <c r="D483" s="36" t="n"/>
      <c r="E483" s="34" t="n"/>
      <c r="F483" s="34" t="n"/>
    </row>
    <row r="484">
      <c r="A484" s="45" t="n"/>
      <c r="B484" s="34" t="n"/>
      <c r="C484" s="34" t="n"/>
      <c r="D484" s="36" t="n"/>
      <c r="E484" s="34" t="n"/>
      <c r="F484" s="34" t="n"/>
    </row>
    <row r="485">
      <c r="A485" s="45" t="n"/>
      <c r="B485" s="34" t="n"/>
      <c r="C485" s="34" t="n"/>
      <c r="D485" s="36" t="n"/>
      <c r="E485" s="34" t="n"/>
      <c r="F485" s="34" t="n"/>
    </row>
    <row r="486">
      <c r="A486" s="45" t="n"/>
      <c r="B486" s="34" t="n"/>
      <c r="C486" s="34" t="n"/>
      <c r="D486" s="36" t="n"/>
      <c r="E486" s="34" t="n"/>
      <c r="F486" s="34" t="n"/>
    </row>
    <row r="487">
      <c r="A487" s="45" t="n"/>
      <c r="B487" s="34" t="n"/>
      <c r="C487" s="34" t="n"/>
      <c r="D487" s="36" t="n"/>
      <c r="E487" s="34" t="n"/>
      <c r="F487" s="34" t="n"/>
    </row>
    <row r="488">
      <c r="A488" s="45" t="n"/>
      <c r="B488" s="34" t="n"/>
      <c r="C488" s="34" t="n"/>
      <c r="D488" s="36" t="n"/>
      <c r="E488" s="34" t="n"/>
      <c r="F488" s="34" t="n"/>
    </row>
    <row r="489">
      <c r="A489" s="45" t="n"/>
      <c r="B489" s="34" t="n"/>
      <c r="C489" s="34" t="n"/>
      <c r="D489" s="36" t="n"/>
      <c r="E489" s="34" t="n"/>
      <c r="F489" s="34" t="n"/>
    </row>
    <row r="490">
      <c r="A490" s="45" t="n"/>
      <c r="B490" s="34" t="n"/>
      <c r="C490" s="34" t="n"/>
      <c r="D490" s="36" t="n"/>
      <c r="E490" s="34" t="n"/>
      <c r="F490" s="34" t="n"/>
    </row>
    <row r="491">
      <c r="A491" s="45" t="n"/>
      <c r="B491" s="34" t="n"/>
      <c r="C491" s="34" t="n"/>
      <c r="D491" s="36" t="n"/>
      <c r="E491" s="34" t="n"/>
      <c r="F491" s="34" t="n"/>
    </row>
    <row r="492">
      <c r="A492" s="45" t="n"/>
      <c r="B492" s="34" t="n"/>
      <c r="C492" s="34" t="n"/>
      <c r="D492" s="36" t="n"/>
      <c r="E492" s="34" t="n"/>
      <c r="F492" s="34" t="n"/>
    </row>
    <row r="493">
      <c r="A493" s="45" t="n"/>
      <c r="B493" s="34" t="n"/>
      <c r="C493" s="34" t="n"/>
      <c r="D493" s="36" t="n"/>
      <c r="E493" s="34" t="n"/>
      <c r="F493" s="34" t="n"/>
    </row>
    <row r="494">
      <c r="A494" s="45" t="n"/>
      <c r="B494" s="34" t="n"/>
      <c r="C494" s="34" t="n"/>
      <c r="D494" s="36" t="n"/>
      <c r="E494" s="34" t="n"/>
      <c r="F494" s="34" t="n"/>
    </row>
    <row r="495">
      <c r="A495" s="45" t="n"/>
      <c r="B495" s="34" t="n"/>
      <c r="C495" s="34" t="n"/>
      <c r="D495" s="36" t="n"/>
      <c r="E495" s="34" t="n"/>
      <c r="F495" s="34" t="n"/>
    </row>
    <row r="496">
      <c r="A496" s="45" t="n"/>
      <c r="B496" s="34" t="n"/>
      <c r="C496" s="34" t="n"/>
      <c r="D496" s="36" t="n"/>
      <c r="E496" s="34" t="n"/>
      <c r="F496" s="34" t="n"/>
    </row>
    <row r="497">
      <c r="A497" s="45" t="n"/>
      <c r="B497" s="34" t="n"/>
      <c r="C497" s="34" t="n"/>
      <c r="D497" s="36" t="n"/>
      <c r="E497" s="34" t="n"/>
      <c r="F497" s="34" t="n"/>
    </row>
    <row r="498">
      <c r="A498" s="45" t="n"/>
      <c r="B498" s="34" t="n"/>
      <c r="C498" s="34" t="n"/>
      <c r="D498" s="36" t="n"/>
      <c r="E498" s="34" t="n"/>
      <c r="F498" s="34" t="n"/>
    </row>
    <row r="499">
      <c r="A499" s="45" t="n"/>
      <c r="B499" s="34" t="n"/>
      <c r="C499" s="34" t="n"/>
      <c r="D499" s="36" t="n"/>
      <c r="E499" s="34" t="n"/>
      <c r="F499" s="34" t="n"/>
    </row>
    <row r="500">
      <c r="A500" s="45" t="n"/>
      <c r="B500" s="34" t="n"/>
      <c r="C500" s="34" t="n"/>
      <c r="D500" s="36" t="n"/>
      <c r="E500" s="34" t="n"/>
      <c r="F500" s="34" t="n"/>
    </row>
    <row r="501">
      <c r="A501" s="45" t="n"/>
      <c r="B501" s="34" t="n"/>
      <c r="C501" s="34" t="n"/>
      <c r="D501" s="36" t="n"/>
      <c r="E501" s="34" t="n"/>
      <c r="F501" s="34" t="n"/>
    </row>
  </sheetData>
  <dataValidations count="2">
    <dataValidation sqref="B2:B501" showDropDown="0" showInputMessage="0" showErrorMessage="0" allowBlank="1" type="list">
      <formula1>=Settings!$F$19:$F$26</formula1>
    </dataValidation>
    <dataValidation sqref="E2:E501" showDropDown="0" showInputMessage="0" showErrorMessage="0" allowBlank="1" type="list">
      <formula1>=Settings!$A$8:$A$15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2026-09-28T03:33:37Z</dcterms:created>
  <dcterms:modified xsi:type="dcterms:W3CDTF">2026-09-28T03:33:38Z</dcterms:modified>
</cp:coreProperties>
</file>